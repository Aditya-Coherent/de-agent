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jay\Desktop\Reports\May\Global Avocado Oil Market\"/>
    </mc:Choice>
  </mc:AlternateContent>
  <xr:revisionPtr revIDLastSave="0" documentId="8_{6E1F582C-6DFD-4444-AA6C-4C9964DC2BF5}" xr6:coauthVersionLast="47" xr6:coauthVersionMax="47" xr10:uidLastSave="{00000000-0000-0000-0000-000000000000}"/>
  <bookViews>
    <workbookView xWindow="-110" yWindow="-110" windowWidth="19420" windowHeight="10420" xr2:uid="{5BE9336E-1E2A-487B-91C9-A45F7DE01520}"/>
  </bookViews>
  <sheets>
    <sheet name="Data" sheetId="2" r:id="rId1"/>
    <sheet name="ASP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7" i="2" l="1"/>
  <c r="D74" i="2"/>
  <c r="D69" i="2"/>
  <c r="D60" i="2"/>
  <c r="D48" i="2"/>
  <c r="D45" i="2"/>
  <c r="D42" i="2"/>
  <c r="C42" i="2"/>
  <c r="E41" i="2"/>
  <c r="E40" i="2"/>
  <c r="E39" i="2"/>
  <c r="E38" i="2"/>
  <c r="E37" i="2"/>
  <c r="E36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E77" i="2" l="1"/>
  <c r="E74" i="2"/>
  <c r="E69" i="2"/>
  <c r="E60" i="2"/>
  <c r="E48" i="2"/>
  <c r="E45" i="2"/>
  <c r="E78" i="2" l="1"/>
  <c r="E79" i="2"/>
  <c r="E80" i="2"/>
  <c r="E75" i="2"/>
  <c r="E76" i="2"/>
  <c r="E70" i="2"/>
  <c r="E71" i="2"/>
  <c r="E72" i="2"/>
  <c r="E73" i="2"/>
  <c r="E61" i="2"/>
  <c r="E62" i="2"/>
  <c r="E63" i="2"/>
  <c r="E64" i="2"/>
  <c r="E65" i="2"/>
  <c r="E66" i="2"/>
  <c r="E67" i="2"/>
  <c r="E68" i="2"/>
  <c r="E49" i="2"/>
  <c r="E50" i="2"/>
  <c r="E51" i="2"/>
  <c r="E52" i="2"/>
  <c r="E53" i="2"/>
  <c r="E54" i="2"/>
  <c r="E55" i="2"/>
  <c r="E56" i="2"/>
  <c r="E57" i="2"/>
  <c r="E58" i="2"/>
  <c r="E59" i="2"/>
  <c r="E46" i="2"/>
  <c r="E47" i="2"/>
  <c r="B1" i="1" l="1"/>
</calcChain>
</file>

<file path=xl/sharedStrings.xml><?xml version="1.0" encoding="utf-8"?>
<sst xmlns="http://schemas.openxmlformats.org/spreadsheetml/2006/main" count="1095" uniqueCount="82">
  <si>
    <t>U.S.</t>
  </si>
  <si>
    <t>Canada</t>
  </si>
  <si>
    <t>U.K.</t>
  </si>
  <si>
    <t>Germany</t>
  </si>
  <si>
    <t>Romania</t>
  </si>
  <si>
    <t>Italy</t>
  </si>
  <si>
    <t>Poland</t>
  </si>
  <si>
    <t>France</t>
  </si>
  <si>
    <t>Finland</t>
  </si>
  <si>
    <t>Spain</t>
  </si>
  <si>
    <t>Belgium</t>
  </si>
  <si>
    <t>Russia</t>
  </si>
  <si>
    <t>Rest of Europe</t>
  </si>
  <si>
    <t>China</t>
  </si>
  <si>
    <t>India</t>
  </si>
  <si>
    <t>Japan</t>
  </si>
  <si>
    <t>South Korea</t>
  </si>
  <si>
    <t>ASEAN</t>
  </si>
  <si>
    <t>Australia</t>
  </si>
  <si>
    <t>Philippines</t>
  </si>
  <si>
    <t>Rest of Asia Pacific</t>
  </si>
  <si>
    <t>Brazil</t>
  </si>
  <si>
    <t>Argentina</t>
  </si>
  <si>
    <t>Mexico</t>
  </si>
  <si>
    <t>Rest of Latin America</t>
  </si>
  <si>
    <t>GCC Countries</t>
  </si>
  <si>
    <t>Rest of Middle East</t>
  </si>
  <si>
    <t>North Africa</t>
  </si>
  <si>
    <t>South Africa</t>
  </si>
  <si>
    <t>Central Africa</t>
  </si>
  <si>
    <t>Product Type</t>
  </si>
  <si>
    <t>Extra virgin Oil</t>
  </si>
  <si>
    <t>ASP6</t>
  </si>
  <si>
    <t>ASP5</t>
  </si>
  <si>
    <t>ASP9</t>
  </si>
  <si>
    <t>ASP2</t>
  </si>
  <si>
    <t>ASP3</t>
  </si>
  <si>
    <t>ASP7</t>
  </si>
  <si>
    <t>ASP4</t>
  </si>
  <si>
    <t>ASP1</t>
  </si>
  <si>
    <t>ASP8</t>
  </si>
  <si>
    <t>Virgin Oil</t>
  </si>
  <si>
    <t>Pure or Refined Oil</t>
  </si>
  <si>
    <t>Blends</t>
  </si>
  <si>
    <t>Others (Oil Spray, etc.)</t>
  </si>
  <si>
    <t>By Product Type</t>
  </si>
  <si>
    <t>CMI_Trend_60</t>
  </si>
  <si>
    <t>CMI_Trend_25</t>
  </si>
  <si>
    <t>CMI_Trend_52</t>
  </si>
  <si>
    <t>CMI_Trend_38</t>
  </si>
  <si>
    <t>CMI_Trend_46</t>
  </si>
  <si>
    <t>CMI_Trend_20</t>
  </si>
  <si>
    <t>CMI_Trend_56</t>
  </si>
  <si>
    <t>By Packaging</t>
  </si>
  <si>
    <t>Bottles</t>
  </si>
  <si>
    <t>Pouches</t>
  </si>
  <si>
    <t>Tins</t>
  </si>
  <si>
    <t>Others (Jars, etc.)</t>
  </si>
  <si>
    <t>By End User</t>
  </si>
  <si>
    <t>Cosmetics &amp; Personal Care</t>
  </si>
  <si>
    <t>Food &amp; Beverages</t>
  </si>
  <si>
    <t>Pharmaceuticals</t>
  </si>
  <si>
    <t>Others (Nutraceuticals, etc.)</t>
  </si>
  <si>
    <t>By Distribution Channel</t>
  </si>
  <si>
    <t>B2B</t>
  </si>
  <si>
    <t>B2C</t>
  </si>
  <si>
    <t>Offline</t>
  </si>
  <si>
    <t>Supermarkets or Hypermarkets</t>
  </si>
  <si>
    <t>Convenience Stores</t>
  </si>
  <si>
    <t>Others (Specialty Stores, etc.)</t>
  </si>
  <si>
    <t>Online</t>
  </si>
  <si>
    <t>E commerce Platforms</t>
  </si>
  <si>
    <t>Company Owned Websites</t>
  </si>
  <si>
    <t>North America</t>
  </si>
  <si>
    <t>Europe</t>
  </si>
  <si>
    <t>Asia Pacific</t>
  </si>
  <si>
    <t>Latin America</t>
  </si>
  <si>
    <t>Middle East</t>
  </si>
  <si>
    <t>Africa</t>
  </si>
  <si>
    <t>Global</t>
  </si>
  <si>
    <t>Market Name</t>
  </si>
  <si>
    <t>Avocado Oil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</si>
</sst>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0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rlito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ssistant"/>
    </font>
    <font>
      <b/>
      <sz val="9"/>
      <color rgb="FFFFFFFF"/>
      <name val="Assistant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4" fontId="1" fillId="0" borderId="0" xfId="0" applyNumberFormat="1" applyFont="1"/>
    <xf numFmtId="164" fontId="4" fillId="0" borderId="1" xfId="1" applyNumberFormat="1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5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/>
    <xf numFmtId="10" fontId="4" fillId="0" borderId="0" xfId="0" applyNumberFormat="1" applyFont="1"/>
    <xf numFmtId="164" fontId="4" fillId="0" borderId="0" xfId="1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4" fillId="0" borderId="0" xfId="0" applyNumberFormat="1" applyFont="1"/>
    <xf numFmtId="16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2"/>
    </xf>
    <xf numFmtId="0" fontId="7" fillId="2" borderId="1" xfId="0" applyFont="1" applyFill="1" applyBorder="1" applyAlignment="1">
      <alignment horizontal="left" vertical="center"/>
    </xf>
    <xf numFmtId="10" fontId="7" fillId="2" borderId="1" xfId="0" applyNumberFormat="1" applyFont="1" applyFill="1" applyBorder="1" applyAlignment="1">
      <alignment vertical="center"/>
    </xf>
    <xf numFmtId="164" fontId="7" fillId="2" borderId="1" xfId="0" applyNumberFormat="1" applyFont="1" applyFill="1" applyBorder="1" applyAlignment="1">
      <alignment vertical="center"/>
    </xf>
    <xf numFmtId="165" fontId="7" fillId="2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164" fontId="8" fillId="3" borderId="1" xfId="1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4" fillId="0" borderId="0" xfId="1" applyNumberFormat="1" applyFont="1"/>
    <xf numFmtId="165" fontId="9" fillId="0" borderId="0" xfId="0" applyNumberFormat="1" applyFont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0" fontId="9" fillId="5" borderId="0" xfId="0" applyFont="1" applyFill="1"/>
  </cellXfs>
  <cellStyles count="2">
    <cellStyle name="Normal" xfId="0" builtinId="0"/>
    <cellStyle name="Percent" xfId="1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jay\Desktop\Reports\May\Global%20Avocado%20Oil%20Market\Data%20File%20-%20Avocado%20Oil%20Market.xlsx" TargetMode="External"/><Relationship Id="rId1" Type="http://schemas.openxmlformats.org/officeDocument/2006/relationships/externalLinkPath" Target="Data%20File%20-%20Avocado%20Oil%20Mark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 Sheet"/>
      <sheetName val="Trends"/>
      <sheetName val="ASP"/>
      <sheetName val="Data"/>
      <sheetName val="U.S."/>
      <sheetName val="Canada"/>
      <sheetName val="U.K."/>
      <sheetName val="Germany"/>
      <sheetName val="Romania"/>
      <sheetName val="Italy"/>
      <sheetName val="Poland"/>
      <sheetName val="France"/>
      <sheetName val="Finland"/>
      <sheetName val="Spain"/>
      <sheetName val="Belgium"/>
      <sheetName val="Russia"/>
      <sheetName val="Rest of Europe"/>
      <sheetName val="China"/>
      <sheetName val="India"/>
      <sheetName val="Japan"/>
      <sheetName val="South Korea"/>
      <sheetName val="ASEAN"/>
      <sheetName val="Australia"/>
      <sheetName val="Philippines"/>
      <sheetName val="Rest of Asia Pacific"/>
      <sheetName val="Brazil"/>
      <sheetName val="Argentina"/>
      <sheetName val="Mexico"/>
      <sheetName val="Rest of Latin America"/>
      <sheetName val="GCC Countries"/>
      <sheetName val="Rest of Middle East"/>
      <sheetName val="North Africa"/>
      <sheetName val="South Africa"/>
      <sheetName val="Central Africa"/>
      <sheetName val="Global"/>
      <sheetName val="North America"/>
      <sheetName val="Europe"/>
      <sheetName val="Asia Pacific"/>
      <sheetName val="Latin America"/>
      <sheetName val="Middle East"/>
      <sheetName val="Afri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52">
          <cell r="H52">
            <v>24.170980102859694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1A59-DB01-47F6-8B0B-229112CA02DA}">
  <sheetPr codeName="Sheet4"/>
  <dimension ref="B1:CR80"/>
  <sheetViews>
    <sheetView tabSelected="1" workbookViewId="0">
      <pane xSplit="2" ySplit="3" topLeftCell="C4" activePane="bottomRight" state="frozen"/>
      <selection activeCell="C4" sqref="C4"/>
      <selection pane="topRight" activeCell="C4" sqref="C4"/>
      <selection pane="bottomLeft" activeCell="C4" sqref="C4"/>
      <selection pane="bottomRight" activeCell="C2" sqref="C2"/>
    </sheetView>
  </sheetViews>
  <sheetFormatPr defaultRowHeight="14.5"/>
  <cols>
    <col min="1" max="1" width="8.6640625" style="13"/>
    <col min="2" max="2" width="24.83203125" style="13" bestFit="1" customWidth="1"/>
    <col min="3" max="34" width="8.6640625" style="13"/>
    <col min="35" max="64" width="8.6640625" style="15"/>
    <col min="65" max="16384" width="8.6640625" style="13"/>
  </cols>
  <sheetData>
    <row r="1" spans="2:96">
      <c r="B1" s="35" t="s">
        <v>80</v>
      </c>
      <c r="C1" s="35" t="s">
        <v>81</v>
      </c>
    </row>
    <row r="2" spans="2:96">
      <c r="C2" s="14"/>
      <c r="AI2" s="15">
        <f>VLOOKUP(AI3,$B$45:$D$80,3,0)</f>
        <v>4.237942664072545E-2</v>
      </c>
      <c r="AJ2" s="15">
        <f t="shared" ref="AJ2:BL2" si="0">VLOOKUP(AJ3,$B$45:$D$80,3,0)</f>
        <v>3.4221446529877714E-2</v>
      </c>
      <c r="AK2" s="15">
        <f t="shared" si="0"/>
        <v>5.632724580480513E-2</v>
      </c>
      <c r="AL2" s="15">
        <f t="shared" si="0"/>
        <v>5.9990886233772786E-2</v>
      </c>
      <c r="AM2" s="15">
        <f t="shared" si="0"/>
        <v>7.9266362412338476E-2</v>
      </c>
      <c r="AN2" s="15">
        <f t="shared" si="0"/>
        <v>5.1350635094730368E-2</v>
      </c>
      <c r="AO2" s="15">
        <f t="shared" si="0"/>
        <v>8.4110662473424747E-2</v>
      </c>
      <c r="AP2" s="15">
        <f t="shared" si="0"/>
        <v>6.8815423647932666E-2</v>
      </c>
      <c r="AQ2" s="15">
        <f t="shared" si="0"/>
        <v>4.3014735750999261E-2</v>
      </c>
      <c r="AR2" s="15">
        <f t="shared" si="0"/>
        <v>7.4127824661068001E-2</v>
      </c>
      <c r="AS2" s="15">
        <f t="shared" si="0"/>
        <v>4.693414577562826E-2</v>
      </c>
      <c r="AT2" s="15">
        <f t="shared" si="0"/>
        <v>3.8729869761121291E-2</v>
      </c>
      <c r="AU2" s="15">
        <f t="shared" si="0"/>
        <v>6.3958083839290553E-2</v>
      </c>
      <c r="AV2" s="15">
        <f t="shared" si="0"/>
        <v>7.1954235656787158E-2</v>
      </c>
      <c r="AW2" s="15">
        <f t="shared" si="0"/>
        <v>9.7042257971839213E-2</v>
      </c>
      <c r="AX2" s="15">
        <f t="shared" si="0"/>
        <v>4.5727338241008185E-2</v>
      </c>
      <c r="AY2" s="15">
        <f t="shared" si="0"/>
        <v>5.8266841186872108E-2</v>
      </c>
      <c r="AZ2" s="15">
        <f t="shared" si="0"/>
        <v>7.9693833487711654E-2</v>
      </c>
      <c r="BA2" s="15">
        <f t="shared" si="0"/>
        <v>5.180870860475173E-2</v>
      </c>
      <c r="BB2" s="15">
        <f t="shared" si="0"/>
        <v>8.9161521801911212E-2</v>
      </c>
      <c r="BC2" s="15">
        <f t="shared" si="0"/>
        <v>6.5017050556880174E-2</v>
      </c>
      <c r="BD2" s="15">
        <f t="shared" si="0"/>
        <v>6.3027126976225145E-2</v>
      </c>
      <c r="BE2" s="15">
        <f t="shared" si="0"/>
        <v>3.8027126976225151E-2</v>
      </c>
      <c r="BF2" s="15">
        <f t="shared" si="0"/>
        <v>4.9027126976225147E-2</v>
      </c>
      <c r="BG2" s="15">
        <f t="shared" si="0"/>
        <v>5.7027126976225147E-2</v>
      </c>
      <c r="BH2" s="15">
        <f t="shared" si="0"/>
        <v>5.9519306805431604E-2</v>
      </c>
      <c r="BI2" s="15">
        <f t="shared" si="0"/>
        <v>5.1586206883457247E-2</v>
      </c>
      <c r="BJ2" s="15">
        <f t="shared" si="0"/>
        <v>4.3627175597497611E-2</v>
      </c>
      <c r="BK2" s="15">
        <f t="shared" si="0"/>
        <v>5.0627175597497617E-2</v>
      </c>
      <c r="BL2" s="15">
        <f t="shared" si="0"/>
        <v>3.7627175597497613E-2</v>
      </c>
    </row>
    <row r="3" spans="2:96">
      <c r="C3" s="16" t="s">
        <v>0</v>
      </c>
      <c r="D3" s="16" t="s">
        <v>1</v>
      </c>
      <c r="E3" s="16" t="s">
        <v>2</v>
      </c>
      <c r="F3" s="16" t="s">
        <v>3</v>
      </c>
      <c r="G3" s="16" t="s">
        <v>4</v>
      </c>
      <c r="H3" s="16" t="s">
        <v>5</v>
      </c>
      <c r="I3" s="16" t="s">
        <v>6</v>
      </c>
      <c r="J3" s="16" t="s">
        <v>7</v>
      </c>
      <c r="K3" s="16" t="s">
        <v>8</v>
      </c>
      <c r="L3" s="16" t="s">
        <v>9</v>
      </c>
      <c r="M3" s="16" t="s">
        <v>10</v>
      </c>
      <c r="N3" s="16" t="s">
        <v>11</v>
      </c>
      <c r="O3" s="16" t="s">
        <v>12</v>
      </c>
      <c r="P3" s="16" t="s">
        <v>13</v>
      </c>
      <c r="Q3" s="16" t="s">
        <v>14</v>
      </c>
      <c r="R3" s="16" t="s">
        <v>15</v>
      </c>
      <c r="S3" s="16" t="s">
        <v>16</v>
      </c>
      <c r="T3" s="16" t="s">
        <v>17</v>
      </c>
      <c r="U3" s="16" t="s">
        <v>18</v>
      </c>
      <c r="V3" s="16" t="s">
        <v>19</v>
      </c>
      <c r="W3" s="16" t="s">
        <v>20</v>
      </c>
      <c r="X3" s="16" t="s">
        <v>21</v>
      </c>
      <c r="Y3" s="16" t="s">
        <v>22</v>
      </c>
      <c r="Z3" s="16" t="s">
        <v>23</v>
      </c>
      <c r="AA3" s="16" t="s">
        <v>24</v>
      </c>
      <c r="AB3" s="16" t="s">
        <v>25</v>
      </c>
      <c r="AC3" s="16" t="s">
        <v>26</v>
      </c>
      <c r="AD3" s="16" t="s">
        <v>27</v>
      </c>
      <c r="AE3" s="16" t="s">
        <v>28</v>
      </c>
      <c r="AF3" s="16" t="s">
        <v>29</v>
      </c>
      <c r="AI3" s="3" t="s">
        <v>0</v>
      </c>
      <c r="AJ3" s="3" t="s">
        <v>1</v>
      </c>
      <c r="AK3" s="3" t="s">
        <v>2</v>
      </c>
      <c r="AL3" s="3" t="s">
        <v>3</v>
      </c>
      <c r="AM3" s="3" t="s">
        <v>4</v>
      </c>
      <c r="AN3" s="3" t="s">
        <v>5</v>
      </c>
      <c r="AO3" s="3" t="s">
        <v>6</v>
      </c>
      <c r="AP3" s="3" t="s">
        <v>7</v>
      </c>
      <c r="AQ3" s="3" t="s">
        <v>8</v>
      </c>
      <c r="AR3" s="3" t="s">
        <v>9</v>
      </c>
      <c r="AS3" s="3" t="s">
        <v>10</v>
      </c>
      <c r="AT3" s="3" t="s">
        <v>11</v>
      </c>
      <c r="AU3" s="3" t="s">
        <v>12</v>
      </c>
      <c r="AV3" s="3" t="s">
        <v>13</v>
      </c>
      <c r="AW3" s="3" t="s">
        <v>14</v>
      </c>
      <c r="AX3" s="3" t="s">
        <v>15</v>
      </c>
      <c r="AY3" s="3" t="s">
        <v>16</v>
      </c>
      <c r="AZ3" s="3" t="s">
        <v>17</v>
      </c>
      <c r="BA3" s="3" t="s">
        <v>18</v>
      </c>
      <c r="BB3" s="3" t="s">
        <v>19</v>
      </c>
      <c r="BC3" s="3" t="s">
        <v>20</v>
      </c>
      <c r="BD3" s="3" t="s">
        <v>21</v>
      </c>
      <c r="BE3" s="3" t="s">
        <v>22</v>
      </c>
      <c r="BF3" s="3" t="s">
        <v>23</v>
      </c>
      <c r="BG3" s="3" t="s">
        <v>24</v>
      </c>
      <c r="BH3" s="3" t="s">
        <v>25</v>
      </c>
      <c r="BI3" s="3" t="s">
        <v>26</v>
      </c>
      <c r="BJ3" s="3" t="s">
        <v>27</v>
      </c>
      <c r="BK3" s="3" t="s">
        <v>28</v>
      </c>
      <c r="BL3" s="3" t="s">
        <v>29</v>
      </c>
      <c r="BO3" s="3" t="s">
        <v>0</v>
      </c>
      <c r="BP3" s="3" t="s">
        <v>1</v>
      </c>
      <c r="BQ3" s="3" t="s">
        <v>2</v>
      </c>
      <c r="BR3" s="3" t="s">
        <v>3</v>
      </c>
      <c r="BS3" s="3" t="s">
        <v>4</v>
      </c>
      <c r="BT3" s="3" t="s">
        <v>5</v>
      </c>
      <c r="BU3" s="3" t="s">
        <v>6</v>
      </c>
      <c r="BV3" s="3" t="s">
        <v>7</v>
      </c>
      <c r="BW3" s="3" t="s">
        <v>8</v>
      </c>
      <c r="BX3" s="3" t="s">
        <v>9</v>
      </c>
      <c r="BY3" s="3" t="s">
        <v>10</v>
      </c>
      <c r="BZ3" s="3" t="s">
        <v>11</v>
      </c>
      <c r="CA3" s="3" t="s">
        <v>12</v>
      </c>
      <c r="CB3" s="3" t="s">
        <v>13</v>
      </c>
      <c r="CC3" s="3" t="s">
        <v>14</v>
      </c>
      <c r="CD3" s="3" t="s">
        <v>15</v>
      </c>
      <c r="CE3" s="3" t="s">
        <v>16</v>
      </c>
      <c r="CF3" s="3" t="s">
        <v>17</v>
      </c>
      <c r="CG3" s="3" t="s">
        <v>18</v>
      </c>
      <c r="CH3" s="3" t="s">
        <v>19</v>
      </c>
      <c r="CI3" s="3" t="s">
        <v>20</v>
      </c>
      <c r="CJ3" s="3" t="s">
        <v>21</v>
      </c>
      <c r="CK3" s="3" t="s">
        <v>22</v>
      </c>
      <c r="CL3" s="3" t="s">
        <v>23</v>
      </c>
      <c r="CM3" s="3" t="s">
        <v>24</v>
      </c>
      <c r="CN3" s="3" t="s">
        <v>25</v>
      </c>
      <c r="CO3" s="3" t="s">
        <v>26</v>
      </c>
      <c r="CP3" s="3" t="s">
        <v>27</v>
      </c>
      <c r="CQ3" s="3" t="s">
        <v>28</v>
      </c>
      <c r="CR3" s="3" t="s">
        <v>29</v>
      </c>
    </row>
    <row r="4" spans="2:96">
      <c r="B4" s="17" t="s">
        <v>45</v>
      </c>
      <c r="AH4" s="17" t="s">
        <v>45</v>
      </c>
      <c r="BN4" s="17" t="s">
        <v>45</v>
      </c>
    </row>
    <row r="5" spans="2:96">
      <c r="B5" s="18" t="s">
        <v>31</v>
      </c>
      <c r="C5" s="19">
        <f>1-SUM(C6:C9)</f>
        <v>0.38890000000000002</v>
      </c>
      <c r="D5" s="19">
        <f t="shared" ref="D5:AF5" si="1">1-SUM(D6:D9)</f>
        <v>0.36650000000000016</v>
      </c>
      <c r="E5" s="19">
        <f t="shared" si="1"/>
        <v>0.35890000000000011</v>
      </c>
      <c r="F5" s="19">
        <f t="shared" si="1"/>
        <v>0.37340000000000007</v>
      </c>
      <c r="G5" s="19">
        <f t="shared" si="1"/>
        <v>0.36169999999999991</v>
      </c>
      <c r="H5" s="19">
        <f t="shared" si="1"/>
        <v>0.377</v>
      </c>
      <c r="I5" s="19">
        <f t="shared" si="1"/>
        <v>0.39100000000000001</v>
      </c>
      <c r="J5" s="19">
        <f t="shared" si="1"/>
        <v>0.40760000000000007</v>
      </c>
      <c r="K5" s="19">
        <f t="shared" si="1"/>
        <v>0.36090000000000011</v>
      </c>
      <c r="L5" s="19">
        <f t="shared" si="1"/>
        <v>0.37840000000000007</v>
      </c>
      <c r="M5" s="19">
        <f t="shared" si="1"/>
        <v>0.3599</v>
      </c>
      <c r="N5" s="19">
        <f t="shared" si="1"/>
        <v>0.34350000000000014</v>
      </c>
      <c r="O5" s="19">
        <f t="shared" si="1"/>
        <v>0.38650000000000007</v>
      </c>
      <c r="P5" s="19">
        <f t="shared" si="1"/>
        <v>0.36170000000000013</v>
      </c>
      <c r="Q5" s="19">
        <f t="shared" si="1"/>
        <v>0.38610000000000011</v>
      </c>
      <c r="R5" s="19">
        <f t="shared" si="1"/>
        <v>0.36510000000000009</v>
      </c>
      <c r="S5" s="19">
        <f t="shared" si="1"/>
        <v>0.39780000000000004</v>
      </c>
      <c r="T5" s="19">
        <f t="shared" si="1"/>
        <v>0.38080000000000003</v>
      </c>
      <c r="U5" s="19">
        <f t="shared" si="1"/>
        <v>0.37780000000000002</v>
      </c>
      <c r="V5" s="19">
        <f t="shared" si="1"/>
        <v>0.36570000000000003</v>
      </c>
      <c r="W5" s="19">
        <f t="shared" si="1"/>
        <v>0.34390000000000009</v>
      </c>
      <c r="X5" s="19">
        <f t="shared" si="1"/>
        <v>0.38739999999999997</v>
      </c>
      <c r="Y5" s="19">
        <f t="shared" si="1"/>
        <v>0.373</v>
      </c>
      <c r="Z5" s="19">
        <f t="shared" si="1"/>
        <v>0.3891</v>
      </c>
      <c r="AA5" s="19">
        <f t="shared" si="1"/>
        <v>0.37190000000000001</v>
      </c>
      <c r="AB5" s="19">
        <f t="shared" si="1"/>
        <v>0.35250000000000015</v>
      </c>
      <c r="AC5" s="19">
        <f t="shared" si="1"/>
        <v>0.39590000000000014</v>
      </c>
      <c r="AD5" s="19">
        <f t="shared" si="1"/>
        <v>0.38290000000000013</v>
      </c>
      <c r="AE5" s="19">
        <f t="shared" si="1"/>
        <v>0.35120000000000007</v>
      </c>
      <c r="AF5" s="19">
        <f t="shared" si="1"/>
        <v>0.37940000000000007</v>
      </c>
      <c r="AH5" s="18" t="s">
        <v>31</v>
      </c>
      <c r="AI5" s="15">
        <v>4.8350916108691973E-2</v>
      </c>
      <c r="AJ5" s="15">
        <v>4.0503192143424974E-2</v>
      </c>
      <c r="AK5" s="15">
        <v>6.2749422203320498E-2</v>
      </c>
      <c r="AL5" s="15">
        <v>6.6395081366812006E-2</v>
      </c>
      <c r="AM5" s="15">
        <v>8.5462785520915213E-2</v>
      </c>
      <c r="AN5" s="15">
        <v>5.7552729271908451E-2</v>
      </c>
      <c r="AO5" s="15">
        <v>9.0131647590847311E-2</v>
      </c>
      <c r="AP5" s="15">
        <v>7.4750532443109335E-2</v>
      </c>
      <c r="AQ5" s="15">
        <v>4.9623516840177677E-2</v>
      </c>
      <c r="AR5" s="15">
        <v>8.0328607001309213E-2</v>
      </c>
      <c r="AS5" s="15">
        <v>5.3485532888626855E-2</v>
      </c>
      <c r="AT5" s="15">
        <v>4.5262815956961105E-2</v>
      </c>
      <c r="AU5" s="15">
        <v>7.0302473215641495E-2</v>
      </c>
      <c r="AV5" s="15">
        <v>7.8290701810686578E-2</v>
      </c>
      <c r="AW5" s="15">
        <v>0.10321160703451662</v>
      </c>
      <c r="AX5" s="15">
        <v>5.228397592013434E-2</v>
      </c>
      <c r="AY5" s="15">
        <v>6.4224677912380304E-2</v>
      </c>
      <c r="AZ5" s="15">
        <v>8.5845641026760233E-2</v>
      </c>
      <c r="BA5" s="15">
        <v>5.7990568042817658E-2</v>
      </c>
      <c r="BB5" s="15">
        <v>9.5747337031828417E-2</v>
      </c>
      <c r="BC5" s="15">
        <v>7.1652044010759947E-2</v>
      </c>
      <c r="BD5" s="15">
        <v>6.9089141953745964E-2</v>
      </c>
      <c r="BE5" s="15">
        <v>4.4486587962141111E-2</v>
      </c>
      <c r="BF5" s="15">
        <v>5.5159030908992386E-2</v>
      </c>
      <c r="BG5" s="15">
        <v>6.3462326697329902E-2</v>
      </c>
      <c r="BH5" s="15">
        <v>6.6306568358822593E-2</v>
      </c>
      <c r="BI5" s="15">
        <v>5.7627243569635583E-2</v>
      </c>
      <c r="BJ5" s="15">
        <v>4.98453076962228E-2</v>
      </c>
      <c r="BK5" s="15">
        <v>5.7247364948421649E-2</v>
      </c>
      <c r="BL5" s="15">
        <v>4.3954227950609145E-2</v>
      </c>
      <c r="BN5" s="18" t="s">
        <v>31</v>
      </c>
      <c r="BO5" s="13" t="s">
        <v>46</v>
      </c>
      <c r="BP5" s="13" t="s">
        <v>47</v>
      </c>
      <c r="BQ5" s="13" t="s">
        <v>48</v>
      </c>
      <c r="BR5" s="13" t="s">
        <v>49</v>
      </c>
      <c r="BS5" s="13" t="s">
        <v>50</v>
      </c>
      <c r="BT5" s="13" t="s">
        <v>47</v>
      </c>
      <c r="BU5" s="13" t="s">
        <v>51</v>
      </c>
      <c r="BV5" s="13" t="s">
        <v>52</v>
      </c>
      <c r="BW5" s="13" t="s">
        <v>51</v>
      </c>
      <c r="BX5" s="13" t="s">
        <v>48</v>
      </c>
      <c r="BY5" s="13" t="s">
        <v>48</v>
      </c>
      <c r="BZ5" s="13" t="s">
        <v>48</v>
      </c>
      <c r="CA5" s="13" t="s">
        <v>51</v>
      </c>
      <c r="CB5" s="13" t="s">
        <v>47</v>
      </c>
      <c r="CC5" s="13" t="s">
        <v>47</v>
      </c>
      <c r="CD5" s="13" t="s">
        <v>52</v>
      </c>
      <c r="CE5" s="13" t="s">
        <v>46</v>
      </c>
      <c r="CF5" s="13" t="s">
        <v>48</v>
      </c>
      <c r="CG5" s="13" t="s">
        <v>50</v>
      </c>
      <c r="CH5" s="13" t="s">
        <v>48</v>
      </c>
      <c r="CI5" s="13" t="s">
        <v>51</v>
      </c>
      <c r="CJ5" s="13" t="s">
        <v>48</v>
      </c>
      <c r="CK5" s="13" t="s">
        <v>47</v>
      </c>
      <c r="CL5" s="13" t="s">
        <v>49</v>
      </c>
      <c r="CM5" s="13" t="s">
        <v>47</v>
      </c>
      <c r="CN5" s="13" t="s">
        <v>48</v>
      </c>
      <c r="CO5" s="13" t="s">
        <v>47</v>
      </c>
      <c r="CP5" s="13" t="s">
        <v>51</v>
      </c>
      <c r="CQ5" s="13" t="s">
        <v>47</v>
      </c>
      <c r="CR5" s="13" t="s">
        <v>50</v>
      </c>
    </row>
    <row r="6" spans="2:96">
      <c r="B6" s="18" t="s">
        <v>41</v>
      </c>
      <c r="C6" s="20">
        <v>0.1014</v>
      </c>
      <c r="D6" s="20">
        <v>9.3100000000000002E-2</v>
      </c>
      <c r="E6" s="20">
        <v>0.1124</v>
      </c>
      <c r="F6" s="20">
        <v>0.1128</v>
      </c>
      <c r="G6" s="20">
        <v>9.5100000000000004E-2</v>
      </c>
      <c r="H6" s="20">
        <v>9.5000000000000001E-2</v>
      </c>
      <c r="I6" s="20">
        <v>9.6000000000000002E-2</v>
      </c>
      <c r="J6" s="20">
        <v>9.74E-2</v>
      </c>
      <c r="K6" s="20">
        <v>0.11649999999999999</v>
      </c>
      <c r="L6" s="20">
        <v>0.11269999999999999</v>
      </c>
      <c r="M6" s="20">
        <v>0.112</v>
      </c>
      <c r="N6" s="20">
        <v>0.1085</v>
      </c>
      <c r="O6" s="20">
        <v>0.1217</v>
      </c>
      <c r="P6" s="20">
        <v>0.1125</v>
      </c>
      <c r="Q6" s="20">
        <v>0.1111</v>
      </c>
      <c r="R6" s="20">
        <v>0.11649999999999999</v>
      </c>
      <c r="S6" s="20">
        <v>0.1021</v>
      </c>
      <c r="T6" s="20">
        <v>9.2999999999999999E-2</v>
      </c>
      <c r="U6" s="20">
        <v>9.2600000000000002E-2</v>
      </c>
      <c r="V6" s="20">
        <v>0.11550000000000001</v>
      </c>
      <c r="W6" s="20">
        <v>0.1157</v>
      </c>
      <c r="X6" s="20">
        <v>9.7500000000000003E-2</v>
      </c>
      <c r="Y6" s="20">
        <v>0.1091</v>
      </c>
      <c r="Z6" s="20">
        <v>0.1113</v>
      </c>
      <c r="AA6" s="20">
        <v>0.1129</v>
      </c>
      <c r="AB6" s="20">
        <v>0.1216</v>
      </c>
      <c r="AC6" s="20">
        <v>9.5200000000000007E-2</v>
      </c>
      <c r="AD6" s="20">
        <v>9.1399999999999995E-2</v>
      </c>
      <c r="AE6" s="20">
        <v>0.1212</v>
      </c>
      <c r="AF6" s="20">
        <v>0.1043</v>
      </c>
      <c r="AH6" s="18" t="s">
        <v>41</v>
      </c>
      <c r="AI6" s="15">
        <v>3.0234108458947299E-2</v>
      </c>
      <c r="AJ6" s="15">
        <v>2.23863844936803E-2</v>
      </c>
      <c r="AK6" s="15">
        <v>4.4632614553575818E-2</v>
      </c>
      <c r="AL6" s="15">
        <v>4.8278273717067333E-2</v>
      </c>
      <c r="AM6" s="15">
        <v>6.7345977871170554E-2</v>
      </c>
      <c r="AN6" s="15">
        <v>3.9435921622163778E-2</v>
      </c>
      <c r="AO6" s="15">
        <v>7.2014839941102637E-2</v>
      </c>
      <c r="AP6" s="15">
        <v>5.6633724793364662E-2</v>
      </c>
      <c r="AQ6" s="15">
        <v>3.1506709190433003E-2</v>
      </c>
      <c r="AR6" s="15">
        <v>6.221179935156454E-2</v>
      </c>
      <c r="AS6" s="15">
        <v>3.5368725238882182E-2</v>
      </c>
      <c r="AT6" s="15">
        <v>2.7146008307216432E-2</v>
      </c>
      <c r="AU6" s="15">
        <v>5.2185665565896822E-2</v>
      </c>
      <c r="AV6" s="15">
        <v>6.0173894160941904E-2</v>
      </c>
      <c r="AW6" s="15">
        <v>8.5094799384771949E-2</v>
      </c>
      <c r="AX6" s="15">
        <v>3.4167168270389667E-2</v>
      </c>
      <c r="AY6" s="15">
        <v>4.6107870262635631E-2</v>
      </c>
      <c r="AZ6" s="15">
        <v>6.7728833377015546E-2</v>
      </c>
      <c r="BA6" s="15">
        <v>3.9873760393072985E-2</v>
      </c>
      <c r="BB6" s="15">
        <v>7.7630529382083757E-2</v>
      </c>
      <c r="BC6" s="15">
        <v>5.3535236361015273E-2</v>
      </c>
      <c r="BD6" s="15">
        <v>5.0972334304001284E-2</v>
      </c>
      <c r="BE6" s="15">
        <v>2.6369780312396437E-2</v>
      </c>
      <c r="BF6" s="15">
        <v>3.7042223259247713E-2</v>
      </c>
      <c r="BG6" s="15">
        <v>4.5345519047585228E-2</v>
      </c>
      <c r="BH6" s="15">
        <v>4.8189760709077913E-2</v>
      </c>
      <c r="BI6" s="15">
        <v>3.951043591989091E-2</v>
      </c>
      <c r="BJ6" s="15">
        <v>3.1728500046478127E-2</v>
      </c>
      <c r="BK6" s="15">
        <v>3.9130557298676975E-2</v>
      </c>
      <c r="BL6" s="15">
        <v>2.5837420300864472E-2</v>
      </c>
      <c r="BN6" s="18" t="s">
        <v>41</v>
      </c>
      <c r="BO6" s="13" t="s">
        <v>49</v>
      </c>
      <c r="BP6" s="13" t="s">
        <v>50</v>
      </c>
      <c r="BQ6" s="13" t="s">
        <v>50</v>
      </c>
      <c r="BR6" s="13" t="s">
        <v>47</v>
      </c>
      <c r="BS6" s="13" t="s">
        <v>48</v>
      </c>
      <c r="BT6" s="13" t="s">
        <v>46</v>
      </c>
      <c r="BU6" s="13" t="s">
        <v>49</v>
      </c>
      <c r="BV6" s="13" t="s">
        <v>52</v>
      </c>
      <c r="BW6" s="13" t="s">
        <v>49</v>
      </c>
      <c r="BX6" s="13" t="s">
        <v>52</v>
      </c>
      <c r="BY6" s="13" t="s">
        <v>49</v>
      </c>
      <c r="BZ6" s="13" t="s">
        <v>51</v>
      </c>
      <c r="CA6" s="13" t="s">
        <v>46</v>
      </c>
      <c r="CB6" s="13" t="s">
        <v>49</v>
      </c>
      <c r="CC6" s="13" t="s">
        <v>51</v>
      </c>
      <c r="CD6" s="13" t="s">
        <v>49</v>
      </c>
      <c r="CE6" s="13" t="s">
        <v>46</v>
      </c>
      <c r="CF6" s="13" t="s">
        <v>51</v>
      </c>
      <c r="CG6" s="13" t="s">
        <v>48</v>
      </c>
      <c r="CH6" s="13" t="s">
        <v>47</v>
      </c>
      <c r="CI6" s="13" t="s">
        <v>52</v>
      </c>
      <c r="CJ6" s="13" t="s">
        <v>51</v>
      </c>
      <c r="CK6" s="13" t="s">
        <v>52</v>
      </c>
      <c r="CL6" s="13" t="s">
        <v>52</v>
      </c>
      <c r="CM6" s="13" t="s">
        <v>48</v>
      </c>
      <c r="CN6" s="13" t="s">
        <v>50</v>
      </c>
      <c r="CO6" s="13" t="s">
        <v>46</v>
      </c>
      <c r="CP6" s="13" t="s">
        <v>46</v>
      </c>
      <c r="CQ6" s="13" t="s">
        <v>52</v>
      </c>
      <c r="CR6" s="13" t="s">
        <v>48</v>
      </c>
    </row>
    <row r="7" spans="2:96">
      <c r="B7" s="18" t="s">
        <v>42</v>
      </c>
      <c r="C7" s="20">
        <v>0.32730000000000004</v>
      </c>
      <c r="D7" s="20">
        <v>0.35930000000000001</v>
      </c>
      <c r="E7" s="20">
        <v>0.3508</v>
      </c>
      <c r="F7" s="20">
        <v>0.34060000000000001</v>
      </c>
      <c r="G7" s="20">
        <v>0.34830000000000005</v>
      </c>
      <c r="H7" s="20">
        <v>0.34790000000000004</v>
      </c>
      <c r="I7" s="20">
        <v>0.33960000000000001</v>
      </c>
      <c r="J7" s="20">
        <v>0.32880000000000004</v>
      </c>
      <c r="K7" s="20">
        <v>0.34660000000000002</v>
      </c>
      <c r="L7" s="20">
        <v>0.33200000000000002</v>
      </c>
      <c r="M7" s="20">
        <v>0.34650000000000003</v>
      </c>
      <c r="N7" s="20">
        <v>0.35910000000000003</v>
      </c>
      <c r="O7" s="20">
        <v>0.3256</v>
      </c>
      <c r="P7" s="20">
        <v>0.33850000000000002</v>
      </c>
      <c r="Q7" s="20">
        <v>0.33030000000000004</v>
      </c>
      <c r="R7" s="20">
        <v>0.34460000000000002</v>
      </c>
      <c r="S7" s="20">
        <v>0.32640000000000002</v>
      </c>
      <c r="T7" s="20">
        <v>0.34490000000000004</v>
      </c>
      <c r="U7" s="20">
        <v>0.35670000000000002</v>
      </c>
      <c r="V7" s="20">
        <v>0.34970000000000001</v>
      </c>
      <c r="W7" s="20">
        <v>0.35910000000000003</v>
      </c>
      <c r="X7" s="20">
        <v>0.33780000000000004</v>
      </c>
      <c r="Y7" s="20">
        <v>0.34890000000000004</v>
      </c>
      <c r="Z7" s="20">
        <v>0.32620000000000005</v>
      </c>
      <c r="AA7" s="20">
        <v>0.33450000000000002</v>
      </c>
      <c r="AB7" s="20">
        <v>0.35670000000000002</v>
      </c>
      <c r="AC7" s="20">
        <v>0.3412</v>
      </c>
      <c r="AD7" s="20">
        <v>0.35830000000000001</v>
      </c>
      <c r="AE7" s="20">
        <v>0.34960000000000002</v>
      </c>
      <c r="AF7" s="20">
        <v>0.34340000000000004</v>
      </c>
      <c r="AH7" s="18" t="s">
        <v>42</v>
      </c>
      <c r="AI7" s="15">
        <v>3.6117442243383195E-2</v>
      </c>
      <c r="AJ7" s="15">
        <v>2.8269718278116196E-2</v>
      </c>
      <c r="AK7" s="15">
        <v>5.0515948338011714E-2</v>
      </c>
      <c r="AL7" s="15">
        <v>5.4161607501503228E-2</v>
      </c>
      <c r="AM7" s="15">
        <v>7.3229311655606449E-2</v>
      </c>
      <c r="AN7" s="15">
        <v>4.5319255406599673E-2</v>
      </c>
      <c r="AO7" s="15">
        <v>7.7898173725538533E-2</v>
      </c>
      <c r="AP7" s="15">
        <v>6.2517058577800558E-2</v>
      </c>
      <c r="AQ7" s="15">
        <v>3.7390042974868899E-2</v>
      </c>
      <c r="AR7" s="15">
        <v>6.8095133136000435E-2</v>
      </c>
      <c r="AS7" s="15">
        <v>4.1252059023318077E-2</v>
      </c>
      <c r="AT7" s="15">
        <v>3.3029342091652328E-2</v>
      </c>
      <c r="AU7" s="15">
        <v>5.8068999350332717E-2</v>
      </c>
      <c r="AV7" s="15">
        <v>6.60572279453778E-2</v>
      </c>
      <c r="AW7" s="15">
        <v>9.0978133169207845E-2</v>
      </c>
      <c r="AX7" s="15">
        <v>4.0050502054825562E-2</v>
      </c>
      <c r="AY7" s="15">
        <v>5.1991204047071526E-2</v>
      </c>
      <c r="AZ7" s="15">
        <v>7.3612167161451442E-2</v>
      </c>
      <c r="BA7" s="15">
        <v>4.5757094177508881E-2</v>
      </c>
      <c r="BB7" s="15">
        <v>8.3513863166519653E-2</v>
      </c>
      <c r="BC7" s="15">
        <v>5.9418570145451169E-2</v>
      </c>
      <c r="BD7" s="15">
        <v>5.6855668088437179E-2</v>
      </c>
      <c r="BE7" s="15">
        <v>3.2253114096832333E-2</v>
      </c>
      <c r="BF7" s="15">
        <v>4.2925557043683608E-2</v>
      </c>
      <c r="BG7" s="15">
        <v>5.1228852832021124E-2</v>
      </c>
      <c r="BH7" s="15">
        <v>5.4073094493513808E-2</v>
      </c>
      <c r="BI7" s="15">
        <v>4.5393769704326806E-2</v>
      </c>
      <c r="BJ7" s="15">
        <v>3.7611833830914022E-2</v>
      </c>
      <c r="BK7" s="15">
        <v>4.5013891083112871E-2</v>
      </c>
      <c r="BL7" s="15">
        <v>3.1720754085300368E-2</v>
      </c>
      <c r="BN7" s="18" t="s">
        <v>42</v>
      </c>
      <c r="BO7" s="13" t="s">
        <v>46</v>
      </c>
      <c r="BP7" s="13" t="s">
        <v>46</v>
      </c>
      <c r="BQ7" s="13" t="s">
        <v>51</v>
      </c>
      <c r="BR7" s="13" t="s">
        <v>51</v>
      </c>
      <c r="BS7" s="13" t="s">
        <v>52</v>
      </c>
      <c r="BT7" s="13" t="s">
        <v>48</v>
      </c>
      <c r="BU7" s="13" t="s">
        <v>52</v>
      </c>
      <c r="BV7" s="13" t="s">
        <v>49</v>
      </c>
      <c r="BW7" s="13" t="s">
        <v>51</v>
      </c>
      <c r="BX7" s="13" t="s">
        <v>47</v>
      </c>
      <c r="BY7" s="13" t="s">
        <v>47</v>
      </c>
      <c r="BZ7" s="13" t="s">
        <v>47</v>
      </c>
      <c r="CA7" s="13" t="s">
        <v>50</v>
      </c>
      <c r="CB7" s="13" t="s">
        <v>47</v>
      </c>
      <c r="CC7" s="13" t="s">
        <v>50</v>
      </c>
      <c r="CD7" s="13" t="s">
        <v>50</v>
      </c>
      <c r="CE7" s="13" t="s">
        <v>52</v>
      </c>
      <c r="CF7" s="13" t="s">
        <v>47</v>
      </c>
      <c r="CG7" s="13" t="s">
        <v>52</v>
      </c>
      <c r="CH7" s="13" t="s">
        <v>50</v>
      </c>
      <c r="CI7" s="13" t="s">
        <v>52</v>
      </c>
      <c r="CJ7" s="13" t="s">
        <v>52</v>
      </c>
      <c r="CK7" s="13" t="s">
        <v>51</v>
      </c>
      <c r="CL7" s="13" t="s">
        <v>51</v>
      </c>
      <c r="CM7" s="13" t="s">
        <v>48</v>
      </c>
      <c r="CN7" s="13" t="s">
        <v>49</v>
      </c>
      <c r="CO7" s="13" t="s">
        <v>47</v>
      </c>
      <c r="CP7" s="13" t="s">
        <v>47</v>
      </c>
      <c r="CQ7" s="13" t="s">
        <v>52</v>
      </c>
      <c r="CR7" s="13" t="s">
        <v>48</v>
      </c>
    </row>
    <row r="8" spans="2:96">
      <c r="B8" s="18" t="s">
        <v>43</v>
      </c>
      <c r="C8" s="20">
        <v>9.69E-2</v>
      </c>
      <c r="D8" s="20">
        <v>0.1022</v>
      </c>
      <c r="E8" s="20">
        <v>9.1700000000000004E-2</v>
      </c>
      <c r="F8" s="20">
        <v>9.8000000000000004E-2</v>
      </c>
      <c r="G8" s="20">
        <v>0.10980000000000001</v>
      </c>
      <c r="H8" s="20">
        <v>0.10389999999999999</v>
      </c>
      <c r="I8" s="20">
        <v>9.240000000000001E-2</v>
      </c>
      <c r="J8" s="20">
        <v>9.0800000000000006E-2</v>
      </c>
      <c r="K8" s="20">
        <v>0.10479999999999999</v>
      </c>
      <c r="L8" s="20">
        <v>9.1500000000000012E-2</v>
      </c>
      <c r="M8" s="20">
        <v>0.1096</v>
      </c>
      <c r="N8" s="20">
        <v>0.1037</v>
      </c>
      <c r="O8" s="20">
        <v>9.1500000000000012E-2</v>
      </c>
      <c r="P8" s="20">
        <v>0.10150000000000002</v>
      </c>
      <c r="Q8" s="20">
        <v>9.1000000000000011E-2</v>
      </c>
      <c r="R8" s="20">
        <v>0.1014</v>
      </c>
      <c r="S8" s="20">
        <v>9.1499999999999998E-2</v>
      </c>
      <c r="T8" s="20">
        <v>0.10640000000000001</v>
      </c>
      <c r="U8" s="20">
        <v>9.3300000000000008E-2</v>
      </c>
      <c r="V8" s="20">
        <v>9.7900000000000001E-2</v>
      </c>
      <c r="W8" s="20">
        <v>9.7700000000000009E-2</v>
      </c>
      <c r="X8" s="20">
        <v>9.7300000000000011E-2</v>
      </c>
      <c r="Y8" s="20">
        <v>9.7800000000000012E-2</v>
      </c>
      <c r="Z8" s="20">
        <v>9.2200000000000004E-2</v>
      </c>
      <c r="AA8" s="20">
        <v>0.1104</v>
      </c>
      <c r="AB8" s="20">
        <v>9.8400000000000015E-2</v>
      </c>
      <c r="AC8" s="20">
        <v>9.0999999999999998E-2</v>
      </c>
      <c r="AD8" s="20">
        <v>9.4E-2</v>
      </c>
      <c r="AE8" s="20">
        <v>9.6300000000000011E-2</v>
      </c>
      <c r="AF8" s="20">
        <v>0.10150000000000002</v>
      </c>
      <c r="AH8" s="18" t="s">
        <v>43</v>
      </c>
      <c r="AI8" s="15">
        <v>4.2151956602326152E-2</v>
      </c>
      <c r="AJ8" s="15">
        <v>3.4304232637059152E-2</v>
      </c>
      <c r="AK8" s="15">
        <v>5.655046269695467E-2</v>
      </c>
      <c r="AL8" s="15">
        <v>6.0196121860446185E-2</v>
      </c>
      <c r="AM8" s="15">
        <v>7.9263826014549399E-2</v>
      </c>
      <c r="AN8" s="15">
        <v>5.135376976554263E-2</v>
      </c>
      <c r="AO8" s="15">
        <v>8.3932688084481483E-2</v>
      </c>
      <c r="AP8" s="15">
        <v>6.8551572936743521E-2</v>
      </c>
      <c r="AQ8" s="15">
        <v>4.3424557333811856E-2</v>
      </c>
      <c r="AR8" s="15">
        <v>7.4129647494943385E-2</v>
      </c>
      <c r="AS8" s="15">
        <v>4.7286573382261034E-2</v>
      </c>
      <c r="AT8" s="15">
        <v>3.9063856450595284E-2</v>
      </c>
      <c r="AU8" s="15">
        <v>6.4103513709275667E-2</v>
      </c>
      <c r="AV8" s="15">
        <v>7.2091742304320749E-2</v>
      </c>
      <c r="AW8" s="15">
        <v>9.7012647528150808E-2</v>
      </c>
      <c r="AX8" s="15">
        <v>4.6085016413768519E-2</v>
      </c>
      <c r="AY8" s="15">
        <v>5.8025718406014483E-2</v>
      </c>
      <c r="AZ8" s="15">
        <v>7.9646681520394405E-2</v>
      </c>
      <c r="BA8" s="15">
        <v>5.1791608536451837E-2</v>
      </c>
      <c r="BB8" s="15">
        <v>8.9548377525462602E-2</v>
      </c>
      <c r="BC8" s="15">
        <v>6.5453084504394132E-2</v>
      </c>
      <c r="BD8" s="15">
        <v>6.2890182447380136E-2</v>
      </c>
      <c r="BE8" s="15">
        <v>3.828762845577529E-2</v>
      </c>
      <c r="BF8" s="15">
        <v>4.8960071402626565E-2</v>
      </c>
      <c r="BG8" s="15">
        <v>5.726336719096408E-2</v>
      </c>
      <c r="BH8" s="15">
        <v>6.0107608852456765E-2</v>
      </c>
      <c r="BI8" s="15">
        <v>5.1428284063269762E-2</v>
      </c>
      <c r="BJ8" s="15">
        <v>4.3646348189856979E-2</v>
      </c>
      <c r="BK8" s="15">
        <v>5.1048405442055828E-2</v>
      </c>
      <c r="BL8" s="15">
        <v>3.7755268444243324E-2</v>
      </c>
      <c r="BN8" s="18" t="s">
        <v>43</v>
      </c>
      <c r="BO8" s="13" t="s">
        <v>51</v>
      </c>
      <c r="BP8" s="13" t="s">
        <v>49</v>
      </c>
      <c r="BQ8" s="13" t="s">
        <v>47</v>
      </c>
      <c r="BR8" s="13" t="s">
        <v>52</v>
      </c>
      <c r="BS8" s="13" t="s">
        <v>52</v>
      </c>
      <c r="BT8" s="13" t="s">
        <v>52</v>
      </c>
      <c r="BU8" s="13" t="s">
        <v>48</v>
      </c>
      <c r="BV8" s="13" t="s">
        <v>51</v>
      </c>
      <c r="BW8" s="13" t="s">
        <v>50</v>
      </c>
      <c r="BX8" s="13" t="s">
        <v>51</v>
      </c>
      <c r="BY8" s="13" t="s">
        <v>48</v>
      </c>
      <c r="BZ8" s="13" t="s">
        <v>48</v>
      </c>
      <c r="CA8" s="13" t="s">
        <v>52</v>
      </c>
      <c r="CB8" s="13" t="s">
        <v>46</v>
      </c>
      <c r="CC8" s="13" t="s">
        <v>51</v>
      </c>
      <c r="CD8" s="13" t="s">
        <v>49</v>
      </c>
      <c r="CE8" s="13" t="s">
        <v>52</v>
      </c>
      <c r="CF8" s="13" t="s">
        <v>49</v>
      </c>
      <c r="CG8" s="13" t="s">
        <v>50</v>
      </c>
      <c r="CH8" s="13" t="s">
        <v>46</v>
      </c>
      <c r="CI8" s="13" t="s">
        <v>49</v>
      </c>
      <c r="CJ8" s="13" t="s">
        <v>51</v>
      </c>
      <c r="CK8" s="13" t="s">
        <v>52</v>
      </c>
      <c r="CL8" s="13" t="s">
        <v>49</v>
      </c>
      <c r="CM8" s="13" t="s">
        <v>46</v>
      </c>
      <c r="CN8" s="13" t="s">
        <v>49</v>
      </c>
      <c r="CO8" s="13" t="s">
        <v>50</v>
      </c>
      <c r="CP8" s="13" t="s">
        <v>47</v>
      </c>
      <c r="CQ8" s="13" t="s">
        <v>51</v>
      </c>
      <c r="CR8" s="13" t="s">
        <v>49</v>
      </c>
    </row>
    <row r="9" spans="2:96">
      <c r="B9" s="18" t="s">
        <v>44</v>
      </c>
      <c r="C9" s="20">
        <v>8.5499999999999896E-2</v>
      </c>
      <c r="D9" s="20">
        <v>7.8899999999999887E-2</v>
      </c>
      <c r="E9" s="20">
        <v>8.6199999999999902E-2</v>
      </c>
      <c r="F9" s="20">
        <v>7.5199999999999906E-2</v>
      </c>
      <c r="G9" s="20">
        <v>8.5099999999999898E-2</v>
      </c>
      <c r="H9" s="20">
        <v>7.6199999999999879E-2</v>
      </c>
      <c r="I9" s="20">
        <v>8.0999999999999905E-2</v>
      </c>
      <c r="J9" s="20">
        <v>7.5399999999999884E-2</v>
      </c>
      <c r="K9" s="20">
        <v>7.1199999999999902E-2</v>
      </c>
      <c r="L9" s="20">
        <v>8.5399999999999893E-2</v>
      </c>
      <c r="M9" s="20">
        <v>7.1999999999999911E-2</v>
      </c>
      <c r="N9" s="20">
        <v>8.5199999999999887E-2</v>
      </c>
      <c r="O9" s="20">
        <v>7.4699999999999905E-2</v>
      </c>
      <c r="P9" s="20">
        <v>8.579999999999989E-2</v>
      </c>
      <c r="Q9" s="20">
        <v>8.1499999999999892E-2</v>
      </c>
      <c r="R9" s="20">
        <v>7.2399999999999909E-2</v>
      </c>
      <c r="S9" s="20">
        <v>8.2199999999999898E-2</v>
      </c>
      <c r="T9" s="20">
        <v>7.4899999999999897E-2</v>
      </c>
      <c r="U9" s="20">
        <v>7.9599999999999907E-2</v>
      </c>
      <c r="V9" s="20">
        <v>7.1199999999999902E-2</v>
      </c>
      <c r="W9" s="20">
        <v>8.3599999999999924E-2</v>
      </c>
      <c r="X9" s="20">
        <v>7.9999999999999905E-2</v>
      </c>
      <c r="Y9" s="20">
        <v>7.1199999999999902E-2</v>
      </c>
      <c r="Z9" s="20">
        <v>8.1199999999999897E-2</v>
      </c>
      <c r="AA9" s="20">
        <v>7.0299999999999904E-2</v>
      </c>
      <c r="AB9" s="20">
        <v>7.0799999999999905E-2</v>
      </c>
      <c r="AC9" s="20">
        <v>7.6699999999999921E-2</v>
      </c>
      <c r="AD9" s="20">
        <v>7.339999999999991E-2</v>
      </c>
      <c r="AE9" s="20">
        <v>8.1699999999999898E-2</v>
      </c>
      <c r="AF9" s="20">
        <v>7.1399999999999908E-2</v>
      </c>
      <c r="AH9" s="18" t="s">
        <v>44</v>
      </c>
      <c r="AI9" s="15">
        <v>5.3850916108691971E-2</v>
      </c>
      <c r="AJ9" s="15">
        <v>4.6003192143424972E-2</v>
      </c>
      <c r="AK9" s="15">
        <v>6.8249422203320489E-2</v>
      </c>
      <c r="AL9" s="15">
        <v>7.1895081366811997E-2</v>
      </c>
      <c r="AM9" s="15">
        <v>9.0962785520915218E-2</v>
      </c>
      <c r="AN9" s="15">
        <v>6.3052729271908442E-2</v>
      </c>
      <c r="AO9" s="15">
        <v>9.5631647590847302E-2</v>
      </c>
      <c r="AP9" s="15">
        <v>8.025053244310934E-2</v>
      </c>
      <c r="AQ9" s="15">
        <v>5.5123516840177675E-2</v>
      </c>
      <c r="AR9" s="15">
        <v>8.5828607001309204E-2</v>
      </c>
      <c r="AS9" s="15">
        <v>5.8985532888626853E-2</v>
      </c>
      <c r="AT9" s="15">
        <v>5.0762815956961103E-2</v>
      </c>
      <c r="AU9" s="15">
        <v>7.5802473215641486E-2</v>
      </c>
      <c r="AV9" s="15">
        <v>8.3790701810686569E-2</v>
      </c>
      <c r="AW9" s="15">
        <v>0.10871160703451663</v>
      </c>
      <c r="AX9" s="15">
        <v>5.7783975920134338E-2</v>
      </c>
      <c r="AY9" s="15">
        <v>6.9724677912380295E-2</v>
      </c>
      <c r="AZ9" s="15">
        <v>9.1345641026760224E-2</v>
      </c>
      <c r="BA9" s="15">
        <v>6.3490568042817663E-2</v>
      </c>
      <c r="BB9" s="15">
        <v>0.10124733703182842</v>
      </c>
      <c r="BC9" s="15">
        <v>7.7152044010759951E-2</v>
      </c>
      <c r="BD9" s="15">
        <v>7.4589141953745955E-2</v>
      </c>
      <c r="BE9" s="15">
        <v>4.9986587962141109E-2</v>
      </c>
      <c r="BF9" s="15">
        <v>6.0659030908992384E-2</v>
      </c>
      <c r="BG9" s="15">
        <v>6.8962326697329906E-2</v>
      </c>
      <c r="BH9" s="15">
        <v>7.1806568358822584E-2</v>
      </c>
      <c r="BI9" s="15">
        <v>6.3127243569635588E-2</v>
      </c>
      <c r="BJ9" s="15">
        <v>5.5345307696222798E-2</v>
      </c>
      <c r="BK9" s="15">
        <v>6.2747364948421647E-2</v>
      </c>
      <c r="BL9" s="15">
        <v>4.9454227950609143E-2</v>
      </c>
      <c r="BN9" s="18" t="s">
        <v>44</v>
      </c>
      <c r="BO9" s="13" t="s">
        <v>52</v>
      </c>
      <c r="BP9" s="13" t="s">
        <v>47</v>
      </c>
      <c r="BQ9" s="13" t="s">
        <v>49</v>
      </c>
      <c r="BR9" s="13" t="s">
        <v>47</v>
      </c>
      <c r="BS9" s="13" t="s">
        <v>48</v>
      </c>
      <c r="BT9" s="13" t="s">
        <v>47</v>
      </c>
      <c r="BU9" s="13" t="s">
        <v>51</v>
      </c>
      <c r="BV9" s="13" t="s">
        <v>46</v>
      </c>
      <c r="BW9" s="13" t="s">
        <v>51</v>
      </c>
      <c r="BX9" s="13" t="s">
        <v>46</v>
      </c>
      <c r="BY9" s="13" t="s">
        <v>49</v>
      </c>
      <c r="BZ9" s="13" t="s">
        <v>48</v>
      </c>
      <c r="CA9" s="13" t="s">
        <v>48</v>
      </c>
      <c r="CB9" s="13" t="s">
        <v>50</v>
      </c>
      <c r="CC9" s="13" t="s">
        <v>47</v>
      </c>
      <c r="CD9" s="13" t="s">
        <v>50</v>
      </c>
      <c r="CE9" s="13" t="s">
        <v>52</v>
      </c>
      <c r="CF9" s="13" t="s">
        <v>50</v>
      </c>
      <c r="CG9" s="13" t="s">
        <v>49</v>
      </c>
      <c r="CH9" s="13" t="s">
        <v>46</v>
      </c>
      <c r="CI9" s="13" t="s">
        <v>51</v>
      </c>
      <c r="CJ9" s="13" t="s">
        <v>51</v>
      </c>
      <c r="CK9" s="13" t="s">
        <v>52</v>
      </c>
      <c r="CL9" s="13" t="s">
        <v>50</v>
      </c>
      <c r="CM9" s="13" t="s">
        <v>50</v>
      </c>
      <c r="CN9" s="13" t="s">
        <v>47</v>
      </c>
      <c r="CO9" s="13" t="s">
        <v>46</v>
      </c>
      <c r="CP9" s="13" t="s">
        <v>47</v>
      </c>
      <c r="CQ9" s="13" t="s">
        <v>50</v>
      </c>
      <c r="CR9" s="13" t="s">
        <v>49</v>
      </c>
    </row>
    <row r="11" spans="2:96">
      <c r="B11" s="17" t="s">
        <v>53</v>
      </c>
      <c r="AH11" s="17" t="s">
        <v>53</v>
      </c>
      <c r="BN11" s="17" t="s">
        <v>53</v>
      </c>
    </row>
    <row r="12" spans="2:96">
      <c r="B12" s="18" t="s">
        <v>54</v>
      </c>
      <c r="C12" s="19">
        <f>1-SUM(C13:C15)</f>
        <v>0.65499999999999992</v>
      </c>
      <c r="D12" s="19">
        <f t="shared" ref="D12:AF12" si="2">1-SUM(D13:D15)</f>
        <v>0.63389999999999991</v>
      </c>
      <c r="E12" s="19">
        <f t="shared" si="2"/>
        <v>0.64579999999999993</v>
      </c>
      <c r="F12" s="19">
        <f t="shared" si="2"/>
        <v>0.65110000000000001</v>
      </c>
      <c r="G12" s="19">
        <f t="shared" si="2"/>
        <v>0.62739999999999996</v>
      </c>
      <c r="H12" s="19">
        <f t="shared" si="2"/>
        <v>0.64829999999999988</v>
      </c>
      <c r="I12" s="19">
        <f t="shared" si="2"/>
        <v>0.68589999999999995</v>
      </c>
      <c r="J12" s="19">
        <f t="shared" si="2"/>
        <v>0.61649999999999994</v>
      </c>
      <c r="K12" s="19">
        <f t="shared" si="2"/>
        <v>0.66239999999999999</v>
      </c>
      <c r="L12" s="19">
        <f t="shared" si="2"/>
        <v>0.65179999999999993</v>
      </c>
      <c r="M12" s="19">
        <f t="shared" si="2"/>
        <v>0.64799999999999991</v>
      </c>
      <c r="N12" s="19">
        <f t="shared" si="2"/>
        <v>0.64749999999999996</v>
      </c>
      <c r="O12" s="19">
        <f t="shared" si="2"/>
        <v>0.63069999999999993</v>
      </c>
      <c r="P12" s="19">
        <f t="shared" si="2"/>
        <v>0.64349999999999996</v>
      </c>
      <c r="Q12" s="19">
        <f t="shared" si="2"/>
        <v>0.62769999999999992</v>
      </c>
      <c r="R12" s="19">
        <f t="shared" si="2"/>
        <v>0.64279999999999993</v>
      </c>
      <c r="S12" s="19">
        <f t="shared" si="2"/>
        <v>0.67199999999999993</v>
      </c>
      <c r="T12" s="19">
        <f t="shared" si="2"/>
        <v>0.65769999999999995</v>
      </c>
      <c r="U12" s="19">
        <f t="shared" si="2"/>
        <v>0.65879999999999994</v>
      </c>
      <c r="V12" s="19">
        <f t="shared" si="2"/>
        <v>0.63469999999999993</v>
      </c>
      <c r="W12" s="19">
        <f t="shared" si="2"/>
        <v>0.67369999999999997</v>
      </c>
      <c r="X12" s="19">
        <f t="shared" si="2"/>
        <v>0.64469999999999994</v>
      </c>
      <c r="Y12" s="19">
        <f t="shared" si="2"/>
        <v>0.66099999999999992</v>
      </c>
      <c r="Z12" s="19">
        <f t="shared" si="2"/>
        <v>0.63179999999999992</v>
      </c>
      <c r="AA12" s="19">
        <f t="shared" si="2"/>
        <v>0.64039999999999997</v>
      </c>
      <c r="AB12" s="19">
        <f t="shared" si="2"/>
        <v>0.64859999999999995</v>
      </c>
      <c r="AC12" s="19">
        <f t="shared" si="2"/>
        <v>0.65399999999999991</v>
      </c>
      <c r="AD12" s="19">
        <f t="shared" si="2"/>
        <v>0.65169999999999995</v>
      </c>
      <c r="AE12" s="19">
        <f t="shared" si="2"/>
        <v>0.64249999999999996</v>
      </c>
      <c r="AF12" s="19">
        <f t="shared" si="2"/>
        <v>0.66379999999999995</v>
      </c>
      <c r="AH12" s="18" t="s">
        <v>54</v>
      </c>
      <c r="AI12" s="15">
        <v>4.357437720419513E-2</v>
      </c>
      <c r="AJ12" s="15">
        <v>3.5388436871046966E-2</v>
      </c>
      <c r="AK12" s="15">
        <v>5.7393235098839319E-2</v>
      </c>
      <c r="AL12" s="15">
        <v>6.0871946556719091E-2</v>
      </c>
      <c r="AM12" s="15">
        <v>8.0468877113252485E-2</v>
      </c>
      <c r="AN12" s="15">
        <v>5.2429501706482765E-2</v>
      </c>
      <c r="AO12" s="15">
        <v>8.5016283477428678E-2</v>
      </c>
      <c r="AP12" s="15">
        <v>7.0101271594295286E-2</v>
      </c>
      <c r="AQ12" s="15">
        <v>4.403897199399049E-2</v>
      </c>
      <c r="AR12" s="15">
        <v>7.4984020903551135E-2</v>
      </c>
      <c r="AS12" s="15">
        <v>4.7905071104482479E-2</v>
      </c>
      <c r="AT12" s="15">
        <v>3.9965113879080423E-2</v>
      </c>
      <c r="AU12" s="15">
        <v>6.4954052259116268E-2</v>
      </c>
      <c r="AV12" s="15">
        <v>7.3090390043913253E-2</v>
      </c>
      <c r="AW12" s="15">
        <v>9.8156521219010029E-2</v>
      </c>
      <c r="AX12" s="15">
        <v>4.6969376143289804E-2</v>
      </c>
      <c r="AY12" s="15">
        <v>5.895187112504463E-2</v>
      </c>
      <c r="AZ12" s="15">
        <v>8.0626586377040607E-2</v>
      </c>
      <c r="BA12" s="15">
        <v>5.2965351308873393E-2</v>
      </c>
      <c r="BB12" s="15">
        <v>9.0092356182707653E-2</v>
      </c>
      <c r="BC12" s="15">
        <v>6.5929401824963596E-2</v>
      </c>
      <c r="BD12" s="15">
        <v>6.4039165290359287E-2</v>
      </c>
      <c r="BE12" s="15">
        <v>3.9169955126166014E-2</v>
      </c>
      <c r="BF12" s="15">
        <v>5.0281527112104527E-2</v>
      </c>
      <c r="BG12" s="15">
        <v>5.8237572239442321E-2</v>
      </c>
      <c r="BH12" s="15">
        <v>6.031382933524055E-2</v>
      </c>
      <c r="BI12" s="15">
        <v>5.2584903241102127E-2</v>
      </c>
      <c r="BJ12" s="15">
        <v>4.4902973250764464E-2</v>
      </c>
      <c r="BK12" s="15">
        <v>5.1599142374067042E-2</v>
      </c>
      <c r="BL12" s="15">
        <v>3.8746580618604573E-2</v>
      </c>
      <c r="BN12" s="18" t="s">
        <v>54</v>
      </c>
      <c r="BO12" s="13" t="s">
        <v>51</v>
      </c>
      <c r="BP12" s="13" t="s">
        <v>48</v>
      </c>
      <c r="BQ12" s="13" t="s">
        <v>51</v>
      </c>
      <c r="BR12" s="13" t="s">
        <v>50</v>
      </c>
      <c r="BS12" s="13" t="s">
        <v>52</v>
      </c>
      <c r="BT12" s="13" t="s">
        <v>52</v>
      </c>
      <c r="BU12" s="13" t="s">
        <v>47</v>
      </c>
      <c r="BV12" s="13" t="s">
        <v>50</v>
      </c>
      <c r="BW12" s="13" t="s">
        <v>51</v>
      </c>
      <c r="BX12" s="13" t="s">
        <v>52</v>
      </c>
      <c r="BY12" s="13" t="s">
        <v>47</v>
      </c>
      <c r="BZ12" s="13" t="s">
        <v>51</v>
      </c>
      <c r="CA12" s="13" t="s">
        <v>46</v>
      </c>
      <c r="CB12" s="13" t="s">
        <v>49</v>
      </c>
      <c r="CC12" s="13" t="s">
        <v>47</v>
      </c>
      <c r="CD12" s="13" t="s">
        <v>48</v>
      </c>
      <c r="CE12" s="13" t="s">
        <v>52</v>
      </c>
      <c r="CF12" s="13" t="s">
        <v>51</v>
      </c>
      <c r="CG12" s="13" t="s">
        <v>50</v>
      </c>
      <c r="CH12" s="13" t="s">
        <v>51</v>
      </c>
      <c r="CI12" s="13" t="s">
        <v>46</v>
      </c>
      <c r="CJ12" s="13" t="s">
        <v>50</v>
      </c>
      <c r="CK12" s="13" t="s">
        <v>51</v>
      </c>
      <c r="CL12" s="13" t="s">
        <v>49</v>
      </c>
      <c r="CM12" s="13" t="s">
        <v>49</v>
      </c>
      <c r="CN12" s="13" t="s">
        <v>48</v>
      </c>
      <c r="CO12" s="13" t="s">
        <v>50</v>
      </c>
      <c r="CP12" s="13" t="s">
        <v>48</v>
      </c>
      <c r="CQ12" s="13" t="s">
        <v>51</v>
      </c>
      <c r="CR12" s="13" t="s">
        <v>46</v>
      </c>
    </row>
    <row r="13" spans="2:96">
      <c r="B13" s="18" t="s">
        <v>55</v>
      </c>
      <c r="C13" s="20">
        <v>7.6600000000000015E-2</v>
      </c>
      <c r="D13" s="20">
        <v>8.5199999999999998E-2</v>
      </c>
      <c r="E13" s="20">
        <v>8.2799999999999999E-2</v>
      </c>
      <c r="F13" s="20">
        <v>8.9800000000000005E-2</v>
      </c>
      <c r="G13" s="20">
        <v>8.48E-2</v>
      </c>
      <c r="H13" s="20">
        <v>7.9000000000000001E-2</v>
      </c>
      <c r="I13" s="20">
        <v>7.5000000000000011E-2</v>
      </c>
      <c r="J13" s="20">
        <v>8.3500000000000019E-2</v>
      </c>
      <c r="K13" s="20">
        <v>7.8899999999999998E-2</v>
      </c>
      <c r="L13" s="20">
        <v>8.7500000000000008E-2</v>
      </c>
      <c r="M13" s="20">
        <v>8.4400000000000003E-2</v>
      </c>
      <c r="N13" s="20">
        <v>7.8600000000000017E-2</v>
      </c>
      <c r="O13" s="20">
        <v>8.8900000000000007E-2</v>
      </c>
      <c r="P13" s="20">
        <v>8.4400000000000003E-2</v>
      </c>
      <c r="Q13" s="20">
        <v>8.8599999999999998E-2</v>
      </c>
      <c r="R13" s="20">
        <v>7.6000000000000012E-2</v>
      </c>
      <c r="S13" s="20">
        <v>8.9200000000000002E-2</v>
      </c>
      <c r="T13" s="20">
        <v>8.2100000000000006E-2</v>
      </c>
      <c r="U13" s="20">
        <v>7.5600000000000014E-2</v>
      </c>
      <c r="V13" s="20">
        <v>8.8700000000000001E-2</v>
      </c>
      <c r="W13" s="20">
        <v>7.7700000000000005E-2</v>
      </c>
      <c r="X13" s="20">
        <v>8.4200000000000011E-2</v>
      </c>
      <c r="Y13" s="20">
        <v>7.5500000000000012E-2</v>
      </c>
      <c r="Z13" s="20">
        <v>8.0700000000000008E-2</v>
      </c>
      <c r="AA13" s="20">
        <v>7.6800000000000007E-2</v>
      </c>
      <c r="AB13" s="20">
        <v>8.9900000000000008E-2</v>
      </c>
      <c r="AC13" s="20">
        <v>8.4699999999999998E-2</v>
      </c>
      <c r="AD13" s="20">
        <v>7.5800000000000006E-2</v>
      </c>
      <c r="AE13" s="20">
        <v>8.5699999999999998E-2</v>
      </c>
      <c r="AF13" s="20">
        <v>7.6100000000000001E-2</v>
      </c>
      <c r="AH13" s="18" t="s">
        <v>55</v>
      </c>
      <c r="AI13" s="15">
        <v>5.9881760664195122E-2</v>
      </c>
      <c r="AJ13" s="15">
        <v>5.1695820331046957E-2</v>
      </c>
      <c r="AK13" s="15">
        <v>7.3700618558839304E-2</v>
      </c>
      <c r="AL13" s="15">
        <v>7.7179330016719089E-2</v>
      </c>
      <c r="AM13" s="15">
        <v>9.6776260573252476E-2</v>
      </c>
      <c r="AN13" s="15">
        <v>6.8736885166482756E-2</v>
      </c>
      <c r="AO13" s="15">
        <v>0.10132366693742867</v>
      </c>
      <c r="AP13" s="15">
        <v>8.6408655054295277E-2</v>
      </c>
      <c r="AQ13" s="15">
        <v>6.0346355453990481E-2</v>
      </c>
      <c r="AR13" s="15">
        <v>9.1291404363551126E-2</v>
      </c>
      <c r="AS13" s="15">
        <v>6.4212454564482463E-2</v>
      </c>
      <c r="AT13" s="15">
        <v>5.6272497339080414E-2</v>
      </c>
      <c r="AU13" s="15">
        <v>8.126143571911626E-2</v>
      </c>
      <c r="AV13" s="15">
        <v>8.9397773503913244E-2</v>
      </c>
      <c r="AW13" s="15">
        <v>0.11446390467901002</v>
      </c>
      <c r="AX13" s="15">
        <v>6.3276759603289795E-2</v>
      </c>
      <c r="AY13" s="15">
        <v>7.5259254585044622E-2</v>
      </c>
      <c r="AZ13" s="15">
        <v>9.6933969837040598E-2</v>
      </c>
      <c r="BA13" s="15">
        <v>6.9272734768873384E-2</v>
      </c>
      <c r="BB13" s="15">
        <v>0.10639973964270764</v>
      </c>
      <c r="BC13" s="15">
        <v>8.2236785284963587E-2</v>
      </c>
      <c r="BD13" s="15">
        <v>8.0346548750359278E-2</v>
      </c>
      <c r="BE13" s="15">
        <v>5.5477338586166006E-2</v>
      </c>
      <c r="BF13" s="15">
        <v>6.6588910572104518E-2</v>
      </c>
      <c r="BG13" s="15">
        <v>7.4544955699442306E-2</v>
      </c>
      <c r="BH13" s="15">
        <v>7.6621212795240534E-2</v>
      </c>
      <c r="BI13" s="15">
        <v>6.8892286701102118E-2</v>
      </c>
      <c r="BJ13" s="15">
        <v>6.1210356710764455E-2</v>
      </c>
      <c r="BK13" s="15">
        <v>6.7906525834067033E-2</v>
      </c>
      <c r="BL13" s="15">
        <v>5.5053964078604564E-2</v>
      </c>
      <c r="BN13" s="18" t="s">
        <v>55</v>
      </c>
      <c r="BO13" s="13" t="s">
        <v>49</v>
      </c>
      <c r="BP13" s="13" t="s">
        <v>48</v>
      </c>
      <c r="BQ13" s="13" t="s">
        <v>48</v>
      </c>
      <c r="BR13" s="13" t="s">
        <v>49</v>
      </c>
      <c r="BS13" s="13" t="s">
        <v>46</v>
      </c>
      <c r="BT13" s="13" t="s">
        <v>47</v>
      </c>
      <c r="BU13" s="13" t="s">
        <v>50</v>
      </c>
      <c r="BV13" s="13" t="s">
        <v>46</v>
      </c>
      <c r="BW13" s="13" t="s">
        <v>47</v>
      </c>
      <c r="BX13" s="13" t="s">
        <v>49</v>
      </c>
      <c r="BY13" s="13" t="s">
        <v>49</v>
      </c>
      <c r="BZ13" s="13" t="s">
        <v>51</v>
      </c>
      <c r="CA13" s="13" t="s">
        <v>50</v>
      </c>
      <c r="CB13" s="13" t="s">
        <v>51</v>
      </c>
      <c r="CC13" s="13" t="s">
        <v>51</v>
      </c>
      <c r="CD13" s="13" t="s">
        <v>50</v>
      </c>
      <c r="CE13" s="13" t="s">
        <v>47</v>
      </c>
      <c r="CF13" s="13" t="s">
        <v>46</v>
      </c>
      <c r="CG13" s="13" t="s">
        <v>52</v>
      </c>
      <c r="CH13" s="13" t="s">
        <v>50</v>
      </c>
      <c r="CI13" s="13" t="s">
        <v>52</v>
      </c>
      <c r="CJ13" s="13" t="s">
        <v>52</v>
      </c>
      <c r="CK13" s="13" t="s">
        <v>51</v>
      </c>
      <c r="CL13" s="13" t="s">
        <v>51</v>
      </c>
      <c r="CM13" s="13" t="s">
        <v>49</v>
      </c>
      <c r="CN13" s="13" t="s">
        <v>50</v>
      </c>
      <c r="CO13" s="13" t="s">
        <v>47</v>
      </c>
      <c r="CP13" s="13" t="s">
        <v>50</v>
      </c>
      <c r="CQ13" s="13" t="s">
        <v>46</v>
      </c>
      <c r="CR13" s="13" t="s">
        <v>51</v>
      </c>
    </row>
    <row r="14" spans="2:96">
      <c r="B14" s="18" t="s">
        <v>56</v>
      </c>
      <c r="C14" s="20">
        <v>0.15820000000000001</v>
      </c>
      <c r="D14" s="20">
        <v>0.1653</v>
      </c>
      <c r="E14" s="20">
        <v>0.15040000000000001</v>
      </c>
      <c r="F14" s="20">
        <v>0.15029999999999999</v>
      </c>
      <c r="G14" s="20">
        <v>0.16350000000000001</v>
      </c>
      <c r="H14" s="20">
        <v>0.1406</v>
      </c>
      <c r="I14" s="20">
        <v>0.13250000000000001</v>
      </c>
      <c r="J14" s="20">
        <v>0.16219999999999998</v>
      </c>
      <c r="K14" s="20">
        <v>0.1447</v>
      </c>
      <c r="L14" s="20">
        <v>0.13789999999999999</v>
      </c>
      <c r="M14" s="20">
        <v>0.14219999999999999</v>
      </c>
      <c r="N14" s="20">
        <v>0.16539999999999999</v>
      </c>
      <c r="O14" s="20">
        <v>0.14659999999999998</v>
      </c>
      <c r="P14" s="20">
        <v>0.16639999999999999</v>
      </c>
      <c r="Q14" s="20">
        <v>0.16300000000000001</v>
      </c>
      <c r="R14" s="20">
        <v>0.152</v>
      </c>
      <c r="S14" s="20">
        <v>0.13469999999999999</v>
      </c>
      <c r="T14" s="20">
        <v>0.13639999999999999</v>
      </c>
      <c r="U14" s="20">
        <v>0.1515</v>
      </c>
      <c r="V14" s="20">
        <v>0.13849999999999998</v>
      </c>
      <c r="W14" s="20">
        <v>0.13189999999999999</v>
      </c>
      <c r="X14" s="20">
        <v>0.14529999999999998</v>
      </c>
      <c r="Y14" s="20">
        <v>0.15090000000000001</v>
      </c>
      <c r="Z14" s="20">
        <v>0.16119999999999998</v>
      </c>
      <c r="AA14" s="20">
        <v>0.1472</v>
      </c>
      <c r="AB14" s="20">
        <v>0.13319999999999999</v>
      </c>
      <c r="AC14" s="20">
        <v>0.15409999999999999</v>
      </c>
      <c r="AD14" s="20">
        <v>0.16589999999999999</v>
      </c>
      <c r="AE14" s="20">
        <v>0.1419</v>
      </c>
      <c r="AF14" s="20">
        <v>0.15189999999999998</v>
      </c>
      <c r="AH14" s="18" t="s">
        <v>56</v>
      </c>
      <c r="AI14" s="15">
        <v>3.2100647981712312E-2</v>
      </c>
      <c r="AJ14" s="15">
        <v>2.3914707648564147E-2</v>
      </c>
      <c r="AK14" s="15">
        <v>4.5919505876356501E-2</v>
      </c>
      <c r="AL14" s="15">
        <v>4.9398217334236272E-2</v>
      </c>
      <c r="AM14" s="15">
        <v>6.8995147890769659E-2</v>
      </c>
      <c r="AN14" s="15">
        <v>4.0955772483999946E-2</v>
      </c>
      <c r="AO14" s="15">
        <v>7.3542554254945852E-2</v>
      </c>
      <c r="AP14" s="15">
        <v>5.8627542371812467E-2</v>
      </c>
      <c r="AQ14" s="15">
        <v>3.2565242771507671E-2</v>
      </c>
      <c r="AR14" s="15">
        <v>6.3510291681068309E-2</v>
      </c>
      <c r="AS14" s="15">
        <v>3.643134188199966E-2</v>
      </c>
      <c r="AT14" s="15">
        <v>2.8491384656597604E-2</v>
      </c>
      <c r="AU14" s="15">
        <v>5.3480323036633456E-2</v>
      </c>
      <c r="AV14" s="15">
        <v>6.1616660821430434E-2</v>
      </c>
      <c r="AW14" s="15">
        <v>8.6682791996527203E-2</v>
      </c>
      <c r="AX14" s="15">
        <v>3.5495646920806985E-2</v>
      </c>
      <c r="AY14" s="15">
        <v>4.7478141902561811E-2</v>
      </c>
      <c r="AZ14" s="15">
        <v>6.9152857154557795E-2</v>
      </c>
      <c r="BA14" s="15">
        <v>4.1491622086390574E-2</v>
      </c>
      <c r="BB14" s="15">
        <v>7.8618626960224841E-2</v>
      </c>
      <c r="BC14" s="15">
        <v>5.4455672602480777E-2</v>
      </c>
      <c r="BD14" s="15">
        <v>5.2565436067876468E-2</v>
      </c>
      <c r="BE14" s="15">
        <v>2.7696225903683196E-2</v>
      </c>
      <c r="BF14" s="15">
        <v>3.8807797889621708E-2</v>
      </c>
      <c r="BG14" s="15">
        <v>4.6763843016959503E-2</v>
      </c>
      <c r="BH14" s="15">
        <v>4.8840100112757731E-2</v>
      </c>
      <c r="BI14" s="15">
        <v>4.1111174018619308E-2</v>
      </c>
      <c r="BJ14" s="15">
        <v>3.3429244028281645E-2</v>
      </c>
      <c r="BK14" s="15">
        <v>4.0125413151584223E-2</v>
      </c>
      <c r="BL14" s="15">
        <v>2.7272851396121754E-2</v>
      </c>
      <c r="BN14" s="18" t="s">
        <v>56</v>
      </c>
      <c r="BO14" s="13" t="s">
        <v>46</v>
      </c>
      <c r="BP14" s="13" t="s">
        <v>47</v>
      </c>
      <c r="BQ14" s="13" t="s">
        <v>49</v>
      </c>
      <c r="BR14" s="13" t="s">
        <v>51</v>
      </c>
      <c r="BS14" s="13" t="s">
        <v>51</v>
      </c>
      <c r="BT14" s="13" t="s">
        <v>52</v>
      </c>
      <c r="BU14" s="13" t="s">
        <v>48</v>
      </c>
      <c r="BV14" s="13" t="s">
        <v>51</v>
      </c>
      <c r="BW14" s="13" t="s">
        <v>48</v>
      </c>
      <c r="BX14" s="13" t="s">
        <v>51</v>
      </c>
      <c r="BY14" s="13" t="s">
        <v>52</v>
      </c>
      <c r="BZ14" s="13" t="s">
        <v>49</v>
      </c>
      <c r="CA14" s="13" t="s">
        <v>50</v>
      </c>
      <c r="CB14" s="13" t="s">
        <v>49</v>
      </c>
      <c r="CC14" s="13" t="s">
        <v>46</v>
      </c>
      <c r="CD14" s="13" t="s">
        <v>47</v>
      </c>
      <c r="CE14" s="13" t="s">
        <v>48</v>
      </c>
      <c r="CF14" s="13" t="s">
        <v>48</v>
      </c>
      <c r="CG14" s="13" t="s">
        <v>49</v>
      </c>
      <c r="CH14" s="13" t="s">
        <v>52</v>
      </c>
      <c r="CI14" s="13" t="s">
        <v>50</v>
      </c>
      <c r="CJ14" s="13" t="s">
        <v>50</v>
      </c>
      <c r="CK14" s="13" t="s">
        <v>49</v>
      </c>
      <c r="CL14" s="13" t="s">
        <v>52</v>
      </c>
      <c r="CM14" s="13" t="s">
        <v>48</v>
      </c>
      <c r="CN14" s="13" t="s">
        <v>46</v>
      </c>
      <c r="CO14" s="13" t="s">
        <v>48</v>
      </c>
      <c r="CP14" s="13" t="s">
        <v>51</v>
      </c>
      <c r="CQ14" s="13" t="s">
        <v>46</v>
      </c>
      <c r="CR14" s="13" t="s">
        <v>50</v>
      </c>
    </row>
    <row r="15" spans="2:96">
      <c r="B15" s="18" t="s">
        <v>57</v>
      </c>
      <c r="C15" s="20">
        <v>0.11020000000000005</v>
      </c>
      <c r="D15" s="20">
        <v>0.11560000000000005</v>
      </c>
      <c r="E15" s="20">
        <v>0.12100000000000005</v>
      </c>
      <c r="F15" s="20">
        <v>0.10880000000000005</v>
      </c>
      <c r="G15" s="20">
        <v>0.12430000000000005</v>
      </c>
      <c r="H15" s="20">
        <v>0.13210000000000005</v>
      </c>
      <c r="I15" s="20">
        <v>0.10660000000000006</v>
      </c>
      <c r="J15" s="20">
        <v>0.13780000000000006</v>
      </c>
      <c r="K15" s="20">
        <v>0.11400000000000005</v>
      </c>
      <c r="L15" s="20">
        <v>0.12280000000000005</v>
      </c>
      <c r="M15" s="20">
        <v>0.12540000000000004</v>
      </c>
      <c r="N15" s="20">
        <v>0.10850000000000005</v>
      </c>
      <c r="O15" s="20">
        <v>0.13380000000000006</v>
      </c>
      <c r="P15" s="20">
        <v>0.10570000000000004</v>
      </c>
      <c r="Q15" s="20">
        <v>0.12070000000000006</v>
      </c>
      <c r="R15" s="20">
        <v>0.12920000000000004</v>
      </c>
      <c r="S15" s="20">
        <v>0.10410000000000005</v>
      </c>
      <c r="T15" s="20">
        <v>0.12380000000000005</v>
      </c>
      <c r="U15" s="20">
        <v>0.11410000000000005</v>
      </c>
      <c r="V15" s="20">
        <v>0.13810000000000006</v>
      </c>
      <c r="W15" s="20">
        <v>0.11670000000000005</v>
      </c>
      <c r="X15" s="20">
        <v>0.12580000000000005</v>
      </c>
      <c r="Y15" s="20">
        <v>0.11260000000000005</v>
      </c>
      <c r="Z15" s="20">
        <v>0.12630000000000005</v>
      </c>
      <c r="AA15" s="20">
        <v>0.13560000000000005</v>
      </c>
      <c r="AB15" s="20">
        <v>0.12830000000000005</v>
      </c>
      <c r="AC15" s="20">
        <v>0.10720000000000005</v>
      </c>
      <c r="AD15" s="20">
        <v>0.10660000000000006</v>
      </c>
      <c r="AE15" s="20">
        <v>0.12990000000000004</v>
      </c>
      <c r="AF15" s="20">
        <v>0.10820000000000005</v>
      </c>
      <c r="AH15" s="18" t="s">
        <v>57</v>
      </c>
      <c r="AI15" s="15">
        <v>3.7867007208651549E-2</v>
      </c>
      <c r="AJ15" s="15">
        <v>2.9681066875503384E-2</v>
      </c>
      <c r="AK15" s="15">
        <v>5.1685865103295738E-2</v>
      </c>
      <c r="AL15" s="15">
        <v>5.5164576561175509E-2</v>
      </c>
      <c r="AM15" s="15">
        <v>7.4761507117708903E-2</v>
      </c>
      <c r="AN15" s="15">
        <v>4.6722131710939183E-2</v>
      </c>
      <c r="AO15" s="15">
        <v>7.9308913481885096E-2</v>
      </c>
      <c r="AP15" s="15">
        <v>6.4393901598751704E-2</v>
      </c>
      <c r="AQ15" s="15">
        <v>3.8331601998446908E-2</v>
      </c>
      <c r="AR15" s="15">
        <v>6.9276650908007553E-2</v>
      </c>
      <c r="AS15" s="15">
        <v>4.2197701108938897E-2</v>
      </c>
      <c r="AT15" s="15">
        <v>3.4257743883536841E-2</v>
      </c>
      <c r="AU15" s="15">
        <v>5.9246682263572693E-2</v>
      </c>
      <c r="AV15" s="15">
        <v>6.7383020048369671E-2</v>
      </c>
      <c r="AW15" s="15">
        <v>9.2449151223466447E-2</v>
      </c>
      <c r="AX15" s="15">
        <v>4.1262006147746222E-2</v>
      </c>
      <c r="AY15" s="15">
        <v>5.3244501129501048E-2</v>
      </c>
      <c r="AZ15" s="15">
        <v>7.4919216381497025E-2</v>
      </c>
      <c r="BA15" s="15">
        <v>4.7257981313329811E-2</v>
      </c>
      <c r="BB15" s="15">
        <v>8.4384986187164071E-2</v>
      </c>
      <c r="BC15" s="15">
        <v>6.0222031829420014E-2</v>
      </c>
      <c r="BD15" s="15">
        <v>5.8331795294815705E-2</v>
      </c>
      <c r="BE15" s="15">
        <v>3.3462585130622433E-2</v>
      </c>
      <c r="BF15" s="15">
        <v>4.4574157116560945E-2</v>
      </c>
      <c r="BG15" s="15">
        <v>5.253020224389874E-2</v>
      </c>
      <c r="BH15" s="15">
        <v>5.4606459339696968E-2</v>
      </c>
      <c r="BI15" s="15">
        <v>4.6877533245558545E-2</v>
      </c>
      <c r="BJ15" s="15">
        <v>3.9195603255220882E-2</v>
      </c>
      <c r="BK15" s="15">
        <v>4.589177237852346E-2</v>
      </c>
      <c r="BL15" s="15">
        <v>3.3039210623060991E-2</v>
      </c>
      <c r="BN15" s="18" t="s">
        <v>57</v>
      </c>
      <c r="BO15" s="13" t="s">
        <v>48</v>
      </c>
      <c r="BP15" s="13" t="s">
        <v>49</v>
      </c>
      <c r="BQ15" s="13" t="s">
        <v>49</v>
      </c>
      <c r="BR15" s="13" t="s">
        <v>47</v>
      </c>
      <c r="BS15" s="13" t="s">
        <v>48</v>
      </c>
      <c r="BT15" s="13" t="s">
        <v>50</v>
      </c>
      <c r="BU15" s="13" t="s">
        <v>48</v>
      </c>
      <c r="BV15" s="13" t="s">
        <v>48</v>
      </c>
      <c r="BW15" s="13" t="s">
        <v>49</v>
      </c>
      <c r="BX15" s="13" t="s">
        <v>46</v>
      </c>
      <c r="BY15" s="13" t="s">
        <v>51</v>
      </c>
      <c r="BZ15" s="13" t="s">
        <v>52</v>
      </c>
      <c r="CA15" s="13" t="s">
        <v>51</v>
      </c>
      <c r="CB15" s="13" t="s">
        <v>51</v>
      </c>
      <c r="CC15" s="13" t="s">
        <v>47</v>
      </c>
      <c r="CD15" s="13" t="s">
        <v>52</v>
      </c>
      <c r="CE15" s="13" t="s">
        <v>51</v>
      </c>
      <c r="CF15" s="13" t="s">
        <v>51</v>
      </c>
      <c r="CG15" s="13" t="s">
        <v>48</v>
      </c>
      <c r="CH15" s="13" t="s">
        <v>52</v>
      </c>
      <c r="CI15" s="13" t="s">
        <v>49</v>
      </c>
      <c r="CJ15" s="13" t="s">
        <v>51</v>
      </c>
      <c r="CK15" s="13" t="s">
        <v>51</v>
      </c>
      <c r="CL15" s="13" t="s">
        <v>48</v>
      </c>
      <c r="CM15" s="13" t="s">
        <v>48</v>
      </c>
      <c r="CN15" s="13" t="s">
        <v>51</v>
      </c>
      <c r="CO15" s="13" t="s">
        <v>50</v>
      </c>
      <c r="CP15" s="13" t="s">
        <v>51</v>
      </c>
      <c r="CQ15" s="13" t="s">
        <v>52</v>
      </c>
      <c r="CR15" s="13" t="s">
        <v>52</v>
      </c>
    </row>
    <row r="17" spans="2:96">
      <c r="B17" s="17" t="s">
        <v>58</v>
      </c>
      <c r="AH17" s="17" t="s">
        <v>58</v>
      </c>
      <c r="BN17" s="17" t="s">
        <v>58</v>
      </c>
    </row>
    <row r="18" spans="2:96">
      <c r="B18" s="18" t="s">
        <v>59</v>
      </c>
      <c r="C18" s="20">
        <f>1-SUM(C19:C21)</f>
        <v>0.1523000000000001</v>
      </c>
      <c r="D18" s="20">
        <f t="shared" ref="D18:AF18" si="3">1-SUM(D19:D21)</f>
        <v>0.14590000000000003</v>
      </c>
      <c r="E18" s="20">
        <f t="shared" si="3"/>
        <v>0.10560000000000003</v>
      </c>
      <c r="F18" s="20">
        <f t="shared" si="3"/>
        <v>0.12700000000000011</v>
      </c>
      <c r="G18" s="20">
        <f t="shared" si="3"/>
        <v>0.1472</v>
      </c>
      <c r="H18" s="20">
        <f t="shared" si="3"/>
        <v>0.12340000000000007</v>
      </c>
      <c r="I18" s="20">
        <f t="shared" si="3"/>
        <v>0.12740000000000007</v>
      </c>
      <c r="J18" s="20">
        <f t="shared" si="3"/>
        <v>0.13739999999999997</v>
      </c>
      <c r="K18" s="20">
        <f t="shared" si="3"/>
        <v>0.13980000000000015</v>
      </c>
      <c r="L18" s="20">
        <f t="shared" si="3"/>
        <v>0.1129</v>
      </c>
      <c r="M18" s="20">
        <f t="shared" si="3"/>
        <v>0.128</v>
      </c>
      <c r="N18" s="20">
        <f t="shared" si="3"/>
        <v>0.14770000000000005</v>
      </c>
      <c r="O18" s="20">
        <f t="shared" si="3"/>
        <v>0.12120000000000009</v>
      </c>
      <c r="P18" s="20">
        <f t="shared" si="3"/>
        <v>0.13940000000000008</v>
      </c>
      <c r="Q18" s="20">
        <f t="shared" si="3"/>
        <v>0.14059999999999995</v>
      </c>
      <c r="R18" s="20">
        <f t="shared" si="3"/>
        <v>0.12019999999999997</v>
      </c>
      <c r="S18" s="20">
        <f t="shared" si="3"/>
        <v>0.14769999999999994</v>
      </c>
      <c r="T18" s="20">
        <f t="shared" si="3"/>
        <v>0.11880000000000013</v>
      </c>
      <c r="U18" s="20">
        <f t="shared" si="3"/>
        <v>0.13090000000000013</v>
      </c>
      <c r="V18" s="20">
        <f t="shared" si="3"/>
        <v>0.1362000000000001</v>
      </c>
      <c r="W18" s="20">
        <f t="shared" si="3"/>
        <v>0.11559999999999993</v>
      </c>
      <c r="X18" s="20">
        <f t="shared" si="3"/>
        <v>0.14039999999999997</v>
      </c>
      <c r="Y18" s="20">
        <f t="shared" si="3"/>
        <v>0.11780000000000013</v>
      </c>
      <c r="Z18" s="20">
        <f t="shared" si="3"/>
        <v>0.14019999999999999</v>
      </c>
      <c r="AA18" s="20">
        <f t="shared" si="3"/>
        <v>0.12590000000000012</v>
      </c>
      <c r="AB18" s="20">
        <f t="shared" si="3"/>
        <v>0.12660000000000016</v>
      </c>
      <c r="AC18" s="20">
        <f t="shared" si="3"/>
        <v>0.12419999999999998</v>
      </c>
      <c r="AD18" s="20">
        <f t="shared" si="3"/>
        <v>0.14330000000000009</v>
      </c>
      <c r="AE18" s="20">
        <f t="shared" si="3"/>
        <v>0.12290000000000001</v>
      </c>
      <c r="AF18" s="20">
        <f t="shared" si="3"/>
        <v>0.12190000000000001</v>
      </c>
      <c r="AH18" s="18" t="s">
        <v>59</v>
      </c>
      <c r="AI18" s="15">
        <v>4.7250767520638171E-2</v>
      </c>
      <c r="AJ18" s="15">
        <v>3.9252705008544074E-2</v>
      </c>
      <c r="AK18" s="15">
        <v>6.1494249286447075E-2</v>
      </c>
      <c r="AL18" s="15">
        <v>6.5030669797056045E-2</v>
      </c>
      <c r="AM18" s="15">
        <v>8.4148764647557203E-2</v>
      </c>
      <c r="AN18" s="15">
        <v>5.6516526944361233E-2</v>
      </c>
      <c r="AO18" s="15">
        <v>8.9085996791356648E-2</v>
      </c>
      <c r="AP18" s="15">
        <v>7.3878030210719897E-2</v>
      </c>
      <c r="AQ18" s="15">
        <v>4.7977220427081899E-2</v>
      </c>
      <c r="AR18" s="15">
        <v>7.921195325888214E-2</v>
      </c>
      <c r="AS18" s="15">
        <v>5.1903297628726613E-2</v>
      </c>
      <c r="AT18" s="15">
        <v>4.368895632855211E-2</v>
      </c>
      <c r="AU18" s="15">
        <v>6.8955600569698461E-2</v>
      </c>
      <c r="AV18" s="15">
        <v>7.6979435826907222E-2</v>
      </c>
      <c r="AW18" s="15">
        <v>0.10196726770188827</v>
      </c>
      <c r="AX18" s="15">
        <v>5.0916510265891314E-2</v>
      </c>
      <c r="AY18" s="15">
        <v>6.320417911788262E-2</v>
      </c>
      <c r="AZ18" s="15">
        <v>8.4773164746832108E-2</v>
      </c>
      <c r="BA18" s="15">
        <v>5.6805705519645956E-2</v>
      </c>
      <c r="BB18" s="15">
        <v>9.4248788895777383E-2</v>
      </c>
      <c r="BC18" s="15">
        <v>7.0087733163284968E-2</v>
      </c>
      <c r="BD18" s="15">
        <v>6.8041654658256873E-2</v>
      </c>
      <c r="BE18" s="15">
        <v>4.3227730339248122E-2</v>
      </c>
      <c r="BF18" s="15">
        <v>5.3959733534944945E-2</v>
      </c>
      <c r="BG18" s="15">
        <v>6.2152169577353228E-2</v>
      </c>
      <c r="BH18" s="15">
        <v>6.4593807454938618E-2</v>
      </c>
      <c r="BI18" s="15">
        <v>5.6708672328112039E-2</v>
      </c>
      <c r="BJ18" s="15">
        <v>4.8665608484063344E-2</v>
      </c>
      <c r="BK18" s="15">
        <v>5.5679145050576737E-2</v>
      </c>
      <c r="BL18" s="15">
        <v>4.2694493989573645E-2</v>
      </c>
      <c r="BN18" s="18" t="s">
        <v>59</v>
      </c>
      <c r="BO18" s="13" t="s">
        <v>48</v>
      </c>
      <c r="BP18" s="13" t="s">
        <v>48</v>
      </c>
      <c r="BQ18" s="13" t="s">
        <v>52</v>
      </c>
      <c r="BR18" s="13" t="s">
        <v>48</v>
      </c>
      <c r="BS18" s="13" t="s">
        <v>48</v>
      </c>
      <c r="BT18" s="13" t="s">
        <v>51</v>
      </c>
      <c r="BU18" s="13" t="s">
        <v>47</v>
      </c>
      <c r="BV18" s="13" t="s">
        <v>50</v>
      </c>
      <c r="BW18" s="13" t="s">
        <v>50</v>
      </c>
      <c r="BX18" s="13" t="s">
        <v>49</v>
      </c>
      <c r="BY18" s="13" t="s">
        <v>49</v>
      </c>
      <c r="BZ18" s="13" t="s">
        <v>52</v>
      </c>
      <c r="CA18" s="13" t="s">
        <v>51</v>
      </c>
      <c r="CB18" s="13" t="s">
        <v>49</v>
      </c>
      <c r="CC18" s="13" t="s">
        <v>46</v>
      </c>
      <c r="CD18" s="13" t="s">
        <v>52</v>
      </c>
      <c r="CE18" s="13" t="s">
        <v>47</v>
      </c>
      <c r="CF18" s="13" t="s">
        <v>51</v>
      </c>
      <c r="CG18" s="13" t="s">
        <v>50</v>
      </c>
      <c r="CH18" s="13" t="s">
        <v>49</v>
      </c>
      <c r="CI18" s="13" t="s">
        <v>47</v>
      </c>
      <c r="CJ18" s="13" t="s">
        <v>50</v>
      </c>
      <c r="CK18" s="13" t="s">
        <v>49</v>
      </c>
      <c r="CL18" s="13" t="s">
        <v>51</v>
      </c>
      <c r="CM18" s="13" t="s">
        <v>49</v>
      </c>
      <c r="CN18" s="13" t="s">
        <v>47</v>
      </c>
      <c r="CO18" s="13" t="s">
        <v>51</v>
      </c>
      <c r="CP18" s="13" t="s">
        <v>51</v>
      </c>
      <c r="CQ18" s="13" t="s">
        <v>51</v>
      </c>
      <c r="CR18" s="13" t="s">
        <v>52</v>
      </c>
    </row>
    <row r="19" spans="2:96">
      <c r="B19" s="18" t="s">
        <v>60</v>
      </c>
      <c r="C19" s="20">
        <v>0.7641</v>
      </c>
      <c r="D19" s="20">
        <v>0.77039999999999997</v>
      </c>
      <c r="E19" s="20">
        <v>0.79720000000000002</v>
      </c>
      <c r="F19" s="20">
        <v>0.79220000000000002</v>
      </c>
      <c r="G19" s="20">
        <v>0.76419999999999999</v>
      </c>
      <c r="H19" s="20">
        <v>0.78900000000000003</v>
      </c>
      <c r="I19" s="20">
        <v>0.78690000000000004</v>
      </c>
      <c r="J19" s="20">
        <v>0.78320000000000001</v>
      </c>
      <c r="K19" s="20">
        <v>0.78039999999999998</v>
      </c>
      <c r="L19" s="20">
        <v>0.79730000000000001</v>
      </c>
      <c r="M19" s="20">
        <v>0.78839999999999999</v>
      </c>
      <c r="N19" s="20">
        <v>0.76560000000000006</v>
      </c>
      <c r="O19" s="20">
        <v>0.79149999999999998</v>
      </c>
      <c r="P19" s="20">
        <v>0.76680000000000004</v>
      </c>
      <c r="Q19" s="20">
        <v>0.76770000000000005</v>
      </c>
      <c r="R19" s="20">
        <v>0.79200000000000004</v>
      </c>
      <c r="S19" s="20">
        <v>0.76870000000000005</v>
      </c>
      <c r="T19" s="20">
        <v>0.79159999999999997</v>
      </c>
      <c r="U19" s="20">
        <v>0.77359999999999995</v>
      </c>
      <c r="V19" s="20">
        <v>0.77449999999999997</v>
      </c>
      <c r="W19" s="20">
        <v>0.79490000000000005</v>
      </c>
      <c r="X19" s="20">
        <v>0.78520000000000001</v>
      </c>
      <c r="Y19" s="20">
        <v>0.79349999999999998</v>
      </c>
      <c r="Z19" s="20">
        <v>0.77890000000000004</v>
      </c>
      <c r="AA19" s="20">
        <v>0.79269999999999996</v>
      </c>
      <c r="AB19" s="20">
        <v>0.78049999999999997</v>
      </c>
      <c r="AC19" s="20">
        <v>0.79620000000000002</v>
      </c>
      <c r="AD19" s="20">
        <v>0.76749999999999996</v>
      </c>
      <c r="AE19" s="20">
        <v>0.79630000000000001</v>
      </c>
      <c r="AF19" s="20">
        <v>0.7823</v>
      </c>
      <c r="AH19" s="18" t="s">
        <v>60</v>
      </c>
      <c r="AI19" s="15">
        <v>4.1517381484580132E-2</v>
      </c>
      <c r="AJ19" s="15">
        <v>3.3519318972486035E-2</v>
      </c>
      <c r="AK19" s="15">
        <v>5.5760863250389037E-2</v>
      </c>
      <c r="AL19" s="15">
        <v>5.9297283760998E-2</v>
      </c>
      <c r="AM19" s="15">
        <v>7.8415378611499165E-2</v>
      </c>
      <c r="AN19" s="15">
        <v>5.0783140908303194E-2</v>
      </c>
      <c r="AO19" s="15">
        <v>8.3352610755298623E-2</v>
      </c>
      <c r="AP19" s="15">
        <v>6.8144644174661873E-2</v>
      </c>
      <c r="AQ19" s="15">
        <v>4.224383439102386E-2</v>
      </c>
      <c r="AR19" s="15">
        <v>7.3478567222824101E-2</v>
      </c>
      <c r="AS19" s="15">
        <v>4.6169911592668575E-2</v>
      </c>
      <c r="AT19" s="15">
        <v>3.7955570292494072E-2</v>
      </c>
      <c r="AU19" s="15">
        <v>6.3222214533640408E-2</v>
      </c>
      <c r="AV19" s="15">
        <v>7.1246049790849184E-2</v>
      </c>
      <c r="AW19" s="15">
        <v>9.6233881665830218E-2</v>
      </c>
      <c r="AX19" s="15">
        <v>4.5183124229833276E-2</v>
      </c>
      <c r="AY19" s="15">
        <v>5.7470793081824588E-2</v>
      </c>
      <c r="AZ19" s="15">
        <v>7.903977871077407E-2</v>
      </c>
      <c r="BA19" s="15">
        <v>5.1072319483587918E-2</v>
      </c>
      <c r="BB19" s="15">
        <v>8.8515402859719344E-2</v>
      </c>
      <c r="BC19" s="15">
        <v>6.435434712722693E-2</v>
      </c>
      <c r="BD19" s="15">
        <v>6.2308268622198834E-2</v>
      </c>
      <c r="BE19" s="15">
        <v>3.7494344303190083E-2</v>
      </c>
      <c r="BF19" s="15">
        <v>4.8226347498886907E-2</v>
      </c>
      <c r="BG19" s="15">
        <v>5.6418783541295189E-2</v>
      </c>
      <c r="BH19" s="15">
        <v>5.8860421418880579E-2</v>
      </c>
      <c r="BI19" s="15">
        <v>5.0975286292054001E-2</v>
      </c>
      <c r="BJ19" s="15">
        <v>4.2932222448005306E-2</v>
      </c>
      <c r="BK19" s="15">
        <v>4.9945759014518698E-2</v>
      </c>
      <c r="BL19" s="15">
        <v>3.6961107953515607E-2</v>
      </c>
      <c r="BN19" s="18" t="s">
        <v>60</v>
      </c>
      <c r="BO19" s="13" t="s">
        <v>49</v>
      </c>
      <c r="BP19" s="13" t="s">
        <v>49</v>
      </c>
      <c r="BQ19" s="13" t="s">
        <v>52</v>
      </c>
      <c r="BR19" s="13" t="s">
        <v>50</v>
      </c>
      <c r="BS19" s="13" t="s">
        <v>52</v>
      </c>
      <c r="BT19" s="13" t="s">
        <v>52</v>
      </c>
      <c r="BU19" s="13" t="s">
        <v>51</v>
      </c>
      <c r="BV19" s="13" t="s">
        <v>51</v>
      </c>
      <c r="BW19" s="13" t="s">
        <v>49</v>
      </c>
      <c r="BX19" s="13" t="s">
        <v>51</v>
      </c>
      <c r="BY19" s="13" t="s">
        <v>50</v>
      </c>
      <c r="BZ19" s="13" t="s">
        <v>51</v>
      </c>
      <c r="CA19" s="13" t="s">
        <v>51</v>
      </c>
      <c r="CB19" s="13" t="s">
        <v>47</v>
      </c>
      <c r="CC19" s="13" t="s">
        <v>46</v>
      </c>
      <c r="CD19" s="13" t="s">
        <v>51</v>
      </c>
      <c r="CE19" s="13" t="s">
        <v>49</v>
      </c>
      <c r="CF19" s="13" t="s">
        <v>48</v>
      </c>
      <c r="CG19" s="13" t="s">
        <v>49</v>
      </c>
      <c r="CH19" s="13" t="s">
        <v>46</v>
      </c>
      <c r="CI19" s="13" t="s">
        <v>49</v>
      </c>
      <c r="CJ19" s="13" t="s">
        <v>48</v>
      </c>
      <c r="CK19" s="13" t="s">
        <v>50</v>
      </c>
      <c r="CL19" s="13" t="s">
        <v>48</v>
      </c>
      <c r="CM19" s="13" t="s">
        <v>51</v>
      </c>
      <c r="CN19" s="13" t="s">
        <v>52</v>
      </c>
      <c r="CO19" s="13" t="s">
        <v>46</v>
      </c>
      <c r="CP19" s="13" t="s">
        <v>50</v>
      </c>
      <c r="CQ19" s="13" t="s">
        <v>52</v>
      </c>
      <c r="CR19" s="13" t="s">
        <v>52</v>
      </c>
    </row>
    <row r="20" spans="2:96">
      <c r="B20" s="18" t="s">
        <v>61</v>
      </c>
      <c r="C20" s="20">
        <v>5.8500000000000003E-2</v>
      </c>
      <c r="D20" s="20">
        <v>6.5100000000000005E-2</v>
      </c>
      <c r="E20" s="20">
        <v>6.9400000000000003E-2</v>
      </c>
      <c r="F20" s="20">
        <v>5.7800000000000004E-2</v>
      </c>
      <c r="G20" s="20">
        <v>6.1000000000000013E-2</v>
      </c>
      <c r="H20" s="20">
        <v>6.8099999999999994E-2</v>
      </c>
      <c r="I20" s="20">
        <v>5.79E-2</v>
      </c>
      <c r="J20" s="20">
        <v>6.1200000000000004E-2</v>
      </c>
      <c r="K20" s="20">
        <v>5.6900000000000006E-2</v>
      </c>
      <c r="L20" s="20">
        <v>6.2100000000000009E-2</v>
      </c>
      <c r="M20" s="20">
        <v>5.6300000000000003E-2</v>
      </c>
      <c r="N20" s="20">
        <v>6.3899999999999998E-2</v>
      </c>
      <c r="O20" s="20">
        <v>5.8300000000000005E-2</v>
      </c>
      <c r="P20" s="20">
        <v>6.9800000000000001E-2</v>
      </c>
      <c r="Q20" s="20">
        <v>6.3399999999999984E-2</v>
      </c>
      <c r="R20" s="20">
        <v>6.8500000000000005E-2</v>
      </c>
      <c r="S20" s="20">
        <v>6.0600000000000001E-2</v>
      </c>
      <c r="T20" s="20">
        <v>6.3500000000000001E-2</v>
      </c>
      <c r="U20" s="20">
        <v>6.6900000000000001E-2</v>
      </c>
      <c r="V20" s="20">
        <v>6.8999999999999992E-2</v>
      </c>
      <c r="W20" s="20">
        <v>6.2000000000000013E-2</v>
      </c>
      <c r="X20" s="20">
        <v>5.6099999999999997E-2</v>
      </c>
      <c r="Y20" s="20">
        <v>6.8999999999999992E-2</v>
      </c>
      <c r="Z20" s="20">
        <v>5.62E-2</v>
      </c>
      <c r="AA20" s="20">
        <v>6.2400000000000004E-2</v>
      </c>
      <c r="AB20" s="20">
        <v>6.7900000000000002E-2</v>
      </c>
      <c r="AC20" s="20">
        <v>6.0500000000000005E-2</v>
      </c>
      <c r="AD20" s="20">
        <v>6.8499999999999991E-2</v>
      </c>
      <c r="AE20" s="20">
        <v>5.7200000000000008E-2</v>
      </c>
      <c r="AF20" s="20">
        <v>6.8099999999999994E-2</v>
      </c>
      <c r="AH20" s="18" t="s">
        <v>61</v>
      </c>
      <c r="AI20" s="15">
        <v>3.5719003386844375E-2</v>
      </c>
      <c r="AJ20" s="15">
        <v>2.7720940874750279E-2</v>
      </c>
      <c r="AK20" s="15">
        <v>4.996248515265328E-2</v>
      </c>
      <c r="AL20" s="15">
        <v>5.3498905663262243E-2</v>
      </c>
      <c r="AM20" s="15">
        <v>7.2617000513763408E-2</v>
      </c>
      <c r="AN20" s="15">
        <v>4.4984762810567437E-2</v>
      </c>
      <c r="AO20" s="15">
        <v>7.7554232657562866E-2</v>
      </c>
      <c r="AP20" s="15">
        <v>6.2346266076926109E-2</v>
      </c>
      <c r="AQ20" s="15">
        <v>3.6445456293288103E-2</v>
      </c>
      <c r="AR20" s="15">
        <v>6.7680189125088344E-2</v>
      </c>
      <c r="AS20" s="15">
        <v>4.0371533494932818E-2</v>
      </c>
      <c r="AT20" s="15">
        <v>3.2157192194758315E-2</v>
      </c>
      <c r="AU20" s="15">
        <v>5.7423836435904659E-2</v>
      </c>
      <c r="AV20" s="15">
        <v>6.5447671693113427E-2</v>
      </c>
      <c r="AW20" s="15">
        <v>9.0435503568094461E-2</v>
      </c>
      <c r="AX20" s="15">
        <v>3.9384746132097519E-2</v>
      </c>
      <c r="AY20" s="15">
        <v>5.1672414984088831E-2</v>
      </c>
      <c r="AZ20" s="15">
        <v>7.3241400613038313E-2</v>
      </c>
      <c r="BA20" s="15">
        <v>4.5273941385852161E-2</v>
      </c>
      <c r="BB20" s="15">
        <v>8.2717024761983587E-2</v>
      </c>
      <c r="BC20" s="15">
        <v>5.8555969029491173E-2</v>
      </c>
      <c r="BD20" s="15">
        <v>5.6509890524463077E-2</v>
      </c>
      <c r="BE20" s="15">
        <v>3.1695966205454326E-2</v>
      </c>
      <c r="BF20" s="15">
        <v>4.242796940115115E-2</v>
      </c>
      <c r="BG20" s="15">
        <v>5.0620405443559433E-2</v>
      </c>
      <c r="BH20" s="15">
        <v>5.3062043321144822E-2</v>
      </c>
      <c r="BI20" s="15">
        <v>4.5176908194318244E-2</v>
      </c>
      <c r="BJ20" s="15">
        <v>3.7133844350269549E-2</v>
      </c>
      <c r="BK20" s="15">
        <v>4.4147380916782941E-2</v>
      </c>
      <c r="BL20" s="15">
        <v>3.116272985577985E-2</v>
      </c>
      <c r="BN20" s="18" t="s">
        <v>61</v>
      </c>
      <c r="BO20" s="13" t="s">
        <v>46</v>
      </c>
      <c r="BP20" s="13" t="s">
        <v>46</v>
      </c>
      <c r="BQ20" s="13" t="s">
        <v>47</v>
      </c>
      <c r="BR20" s="13" t="s">
        <v>52</v>
      </c>
      <c r="BS20" s="13" t="s">
        <v>51</v>
      </c>
      <c r="BT20" s="13" t="s">
        <v>46</v>
      </c>
      <c r="BU20" s="13" t="s">
        <v>48</v>
      </c>
      <c r="BV20" s="13" t="s">
        <v>47</v>
      </c>
      <c r="BW20" s="13" t="s">
        <v>50</v>
      </c>
      <c r="BX20" s="13" t="s">
        <v>47</v>
      </c>
      <c r="BY20" s="13" t="s">
        <v>49</v>
      </c>
      <c r="BZ20" s="13" t="s">
        <v>49</v>
      </c>
      <c r="CA20" s="13" t="s">
        <v>48</v>
      </c>
      <c r="CB20" s="13" t="s">
        <v>49</v>
      </c>
      <c r="CC20" s="13" t="s">
        <v>48</v>
      </c>
      <c r="CD20" s="13" t="s">
        <v>52</v>
      </c>
      <c r="CE20" s="13" t="s">
        <v>48</v>
      </c>
      <c r="CF20" s="13" t="s">
        <v>50</v>
      </c>
      <c r="CG20" s="13" t="s">
        <v>52</v>
      </c>
      <c r="CH20" s="13" t="s">
        <v>52</v>
      </c>
      <c r="CI20" s="13" t="s">
        <v>48</v>
      </c>
      <c r="CJ20" s="13" t="s">
        <v>49</v>
      </c>
      <c r="CK20" s="13" t="s">
        <v>48</v>
      </c>
      <c r="CL20" s="13" t="s">
        <v>51</v>
      </c>
      <c r="CM20" s="13" t="s">
        <v>46</v>
      </c>
      <c r="CN20" s="13" t="s">
        <v>50</v>
      </c>
      <c r="CO20" s="13" t="s">
        <v>51</v>
      </c>
      <c r="CP20" s="13" t="s">
        <v>50</v>
      </c>
      <c r="CQ20" s="13" t="s">
        <v>49</v>
      </c>
      <c r="CR20" s="13" t="s">
        <v>47</v>
      </c>
    </row>
    <row r="21" spans="2:96">
      <c r="B21" s="18" t="s">
        <v>62</v>
      </c>
      <c r="C21" s="20">
        <v>2.5099999999999952E-2</v>
      </c>
      <c r="D21" s="20">
        <v>1.8599999999999957E-2</v>
      </c>
      <c r="E21" s="20">
        <v>2.779999999999995E-2</v>
      </c>
      <c r="F21" s="20">
        <v>2.2999999999999937E-2</v>
      </c>
      <c r="G21" s="20">
        <v>2.7599999999999951E-2</v>
      </c>
      <c r="H21" s="20">
        <v>1.9499999999999958E-2</v>
      </c>
      <c r="I21" s="20">
        <v>2.7799999999999943E-2</v>
      </c>
      <c r="J21" s="20">
        <v>1.8199999999999938E-2</v>
      </c>
      <c r="K21" s="20">
        <v>2.2899999999999955E-2</v>
      </c>
      <c r="L21" s="20">
        <v>2.7699999999999954E-2</v>
      </c>
      <c r="M21" s="20">
        <v>2.7299999999999949E-2</v>
      </c>
      <c r="N21" s="20">
        <v>2.2799999999999938E-2</v>
      </c>
      <c r="O21" s="20">
        <v>2.8999999999999942E-2</v>
      </c>
      <c r="P21" s="20">
        <v>2.3999999999999948E-2</v>
      </c>
      <c r="Q21" s="20">
        <v>2.829999999999995E-2</v>
      </c>
      <c r="R21" s="20">
        <v>1.929999999999996E-2</v>
      </c>
      <c r="S21" s="20">
        <v>2.2999999999999965E-2</v>
      </c>
      <c r="T21" s="20">
        <v>2.6099999999999953E-2</v>
      </c>
      <c r="U21" s="20">
        <v>2.8599999999999945E-2</v>
      </c>
      <c r="V21" s="20">
        <v>2.0299999999999943E-2</v>
      </c>
      <c r="W21" s="20">
        <v>2.7499999999999952E-2</v>
      </c>
      <c r="X21" s="20">
        <v>1.8299999999999955E-2</v>
      </c>
      <c r="Y21" s="20">
        <v>1.9699999999999957E-2</v>
      </c>
      <c r="Z21" s="20">
        <v>2.4699999999999969E-2</v>
      </c>
      <c r="AA21" s="20">
        <v>1.8999999999999954E-2</v>
      </c>
      <c r="AB21" s="20">
        <v>2.4999999999999953E-2</v>
      </c>
      <c r="AC21" s="20">
        <v>1.9099999999999964E-2</v>
      </c>
      <c r="AD21" s="20">
        <v>2.0699999999999961E-2</v>
      </c>
      <c r="AE21" s="20">
        <v>2.3599999999999958E-2</v>
      </c>
      <c r="AF21" s="20">
        <v>2.7699999999999947E-2</v>
      </c>
      <c r="AH21" s="18" t="s">
        <v>62</v>
      </c>
      <c r="AI21" s="15">
        <v>5.4587324973473184E-2</v>
      </c>
      <c r="AJ21" s="15">
        <v>4.6589262461379087E-2</v>
      </c>
      <c r="AK21" s="15">
        <v>6.8830806739282088E-2</v>
      </c>
      <c r="AL21" s="15">
        <v>7.2367227249891058E-2</v>
      </c>
      <c r="AM21" s="15">
        <v>9.1485322100392216E-2</v>
      </c>
      <c r="AN21" s="15">
        <v>6.3853084397196253E-2</v>
      </c>
      <c r="AO21" s="15">
        <v>9.6422554244191661E-2</v>
      </c>
      <c r="AP21" s="15">
        <v>8.121458766355491E-2</v>
      </c>
      <c r="AQ21" s="15">
        <v>5.5313777879916912E-2</v>
      </c>
      <c r="AR21" s="15">
        <v>8.6548510711717153E-2</v>
      </c>
      <c r="AS21" s="15">
        <v>5.9239855081561626E-2</v>
      </c>
      <c r="AT21" s="15">
        <v>5.1025513781387123E-2</v>
      </c>
      <c r="AU21" s="15">
        <v>7.6292158022533474E-2</v>
      </c>
      <c r="AV21" s="15">
        <v>8.4315993279742235E-2</v>
      </c>
      <c r="AW21" s="15">
        <v>0.10930382515472328</v>
      </c>
      <c r="AX21" s="15">
        <v>5.8253067718726327E-2</v>
      </c>
      <c r="AY21" s="15">
        <v>7.0540736570717633E-2</v>
      </c>
      <c r="AZ21" s="15">
        <v>9.2109722199667121E-2</v>
      </c>
      <c r="BA21" s="15">
        <v>6.4142262972480962E-2</v>
      </c>
      <c r="BB21" s="15">
        <v>0.1015853463486124</v>
      </c>
      <c r="BC21" s="15">
        <v>7.7424290616119981E-2</v>
      </c>
      <c r="BD21" s="15">
        <v>7.5378212111091886E-2</v>
      </c>
      <c r="BE21" s="15">
        <v>5.0564287792083135E-2</v>
      </c>
      <c r="BF21" s="15">
        <v>6.1296290987779958E-2</v>
      </c>
      <c r="BG21" s="15">
        <v>6.9488727030188241E-2</v>
      </c>
      <c r="BH21" s="15">
        <v>7.1930364907773631E-2</v>
      </c>
      <c r="BI21" s="15">
        <v>6.4045229780947052E-2</v>
      </c>
      <c r="BJ21" s="15">
        <v>5.6002165936898357E-2</v>
      </c>
      <c r="BK21" s="15">
        <v>6.301570250341175E-2</v>
      </c>
      <c r="BL21" s="15">
        <v>5.0031051442408658E-2</v>
      </c>
      <c r="BN21" s="18" t="s">
        <v>62</v>
      </c>
      <c r="BO21" s="13" t="s">
        <v>49</v>
      </c>
      <c r="BP21" s="13" t="s">
        <v>50</v>
      </c>
      <c r="BQ21" s="13" t="s">
        <v>46</v>
      </c>
      <c r="BR21" s="13" t="s">
        <v>51</v>
      </c>
      <c r="BS21" s="13" t="s">
        <v>47</v>
      </c>
      <c r="BT21" s="13" t="s">
        <v>50</v>
      </c>
      <c r="BU21" s="13" t="s">
        <v>48</v>
      </c>
      <c r="BV21" s="13" t="s">
        <v>46</v>
      </c>
      <c r="BW21" s="13" t="s">
        <v>51</v>
      </c>
      <c r="BX21" s="13" t="s">
        <v>47</v>
      </c>
      <c r="BY21" s="13" t="s">
        <v>48</v>
      </c>
      <c r="BZ21" s="13" t="s">
        <v>51</v>
      </c>
      <c r="CA21" s="13" t="s">
        <v>50</v>
      </c>
      <c r="CB21" s="13" t="s">
        <v>46</v>
      </c>
      <c r="CC21" s="13" t="s">
        <v>50</v>
      </c>
      <c r="CD21" s="13" t="s">
        <v>47</v>
      </c>
      <c r="CE21" s="13" t="s">
        <v>49</v>
      </c>
      <c r="CF21" s="13" t="s">
        <v>52</v>
      </c>
      <c r="CG21" s="13" t="s">
        <v>48</v>
      </c>
      <c r="CH21" s="13" t="s">
        <v>52</v>
      </c>
      <c r="CI21" s="13" t="s">
        <v>52</v>
      </c>
      <c r="CJ21" s="13" t="s">
        <v>47</v>
      </c>
      <c r="CK21" s="13" t="s">
        <v>46</v>
      </c>
      <c r="CL21" s="13" t="s">
        <v>48</v>
      </c>
      <c r="CM21" s="13" t="s">
        <v>51</v>
      </c>
      <c r="CN21" s="13" t="s">
        <v>46</v>
      </c>
      <c r="CO21" s="13" t="s">
        <v>52</v>
      </c>
      <c r="CP21" s="13" t="s">
        <v>48</v>
      </c>
      <c r="CQ21" s="13" t="s">
        <v>46</v>
      </c>
      <c r="CR21" s="13" t="s">
        <v>48</v>
      </c>
    </row>
    <row r="23" spans="2:96">
      <c r="B23" s="17" t="s">
        <v>63</v>
      </c>
      <c r="AH23" s="17" t="s">
        <v>63</v>
      </c>
      <c r="BN23" s="17" t="s">
        <v>63</v>
      </c>
    </row>
    <row r="24" spans="2:96">
      <c r="B24" s="18" t="s">
        <v>64</v>
      </c>
      <c r="C24" s="19">
        <f>1-C25</f>
        <v>0.54780000000000006</v>
      </c>
      <c r="D24" s="19">
        <f t="shared" ref="D24:AF24" si="4">1-D25</f>
        <v>0.54610000000000003</v>
      </c>
      <c r="E24" s="19">
        <f t="shared" si="4"/>
        <v>0.55540000000000012</v>
      </c>
      <c r="F24" s="19">
        <f t="shared" si="4"/>
        <v>0.54570000000000007</v>
      </c>
      <c r="G24" s="19">
        <f t="shared" si="4"/>
        <v>0.54530000000000012</v>
      </c>
      <c r="H24" s="19">
        <f t="shared" si="4"/>
        <v>0.5706</v>
      </c>
      <c r="I24" s="19">
        <f t="shared" si="4"/>
        <v>0.5737000000000001</v>
      </c>
      <c r="J24" s="19">
        <f t="shared" si="4"/>
        <v>0.56770000000000009</v>
      </c>
      <c r="K24" s="19">
        <f t="shared" si="4"/>
        <v>0.5504</v>
      </c>
      <c r="L24" s="19">
        <f t="shared" si="4"/>
        <v>0.56850000000000001</v>
      </c>
      <c r="M24" s="19">
        <f t="shared" si="4"/>
        <v>0.54560000000000008</v>
      </c>
      <c r="N24" s="19">
        <f t="shared" si="4"/>
        <v>0.57610000000000006</v>
      </c>
      <c r="O24" s="19">
        <f t="shared" si="4"/>
        <v>0.56950000000000012</v>
      </c>
      <c r="P24" s="19">
        <f t="shared" si="4"/>
        <v>0.55940000000000012</v>
      </c>
      <c r="Q24" s="19">
        <f t="shared" si="4"/>
        <v>0.54380000000000006</v>
      </c>
      <c r="R24" s="19">
        <f t="shared" si="4"/>
        <v>0.56000000000000005</v>
      </c>
      <c r="S24" s="19">
        <f t="shared" si="4"/>
        <v>0.5495000000000001</v>
      </c>
      <c r="T24" s="19">
        <f t="shared" si="4"/>
        <v>0.57689999999999997</v>
      </c>
      <c r="U24" s="19">
        <f t="shared" si="4"/>
        <v>0.5475000000000001</v>
      </c>
      <c r="V24" s="19">
        <f t="shared" si="4"/>
        <v>0.56740000000000002</v>
      </c>
      <c r="W24" s="19">
        <f t="shared" si="4"/>
        <v>0.57650000000000001</v>
      </c>
      <c r="X24" s="19">
        <f t="shared" si="4"/>
        <v>0.57320000000000004</v>
      </c>
      <c r="Y24" s="19">
        <f t="shared" si="4"/>
        <v>0.56620000000000004</v>
      </c>
      <c r="Z24" s="19">
        <f t="shared" si="4"/>
        <v>0.55690000000000006</v>
      </c>
      <c r="AA24" s="19">
        <f t="shared" si="4"/>
        <v>0.54940000000000011</v>
      </c>
      <c r="AB24" s="19">
        <f t="shared" si="4"/>
        <v>0.57069999999999999</v>
      </c>
      <c r="AC24" s="19">
        <f t="shared" si="4"/>
        <v>0.56279999999999997</v>
      </c>
      <c r="AD24" s="19">
        <f t="shared" si="4"/>
        <v>0.57820000000000005</v>
      </c>
      <c r="AE24" s="19">
        <f t="shared" si="4"/>
        <v>0.54449999999999998</v>
      </c>
      <c r="AF24" s="19">
        <f t="shared" si="4"/>
        <v>0.57069999999999999</v>
      </c>
      <c r="AH24" s="18" t="s">
        <v>64</v>
      </c>
      <c r="AI24" s="15">
        <v>3.8476702532168137E-2</v>
      </c>
      <c r="AJ24" s="15">
        <v>3.0341494001686453E-2</v>
      </c>
      <c r="AK24" s="15">
        <v>5.2649751538102203E-2</v>
      </c>
      <c r="AL24" s="15">
        <v>5.6305415389517735E-2</v>
      </c>
      <c r="AM24" s="15">
        <v>7.5611972784107556E-2</v>
      </c>
      <c r="AN24" s="15">
        <v>4.7770694486194594E-2</v>
      </c>
      <c r="AO24" s="15">
        <v>8.0461087823498881E-2</v>
      </c>
      <c r="AP24" s="15">
        <v>6.5137305132976414E-2</v>
      </c>
      <c r="AQ24" s="15">
        <v>3.9028308429258515E-2</v>
      </c>
      <c r="AR24" s="15">
        <v>7.0558041852563064E-2</v>
      </c>
      <c r="AS24" s="15">
        <v>4.3241974650908128E-2</v>
      </c>
      <c r="AT24" s="15">
        <v>3.5375794999501081E-2</v>
      </c>
      <c r="AU24" s="15">
        <v>6.0261951580350998E-2</v>
      </c>
      <c r="AV24" s="15">
        <v>6.846069845851771E-2</v>
      </c>
      <c r="AW24" s="15">
        <v>9.3310304943626049E-2</v>
      </c>
      <c r="AX24" s="15">
        <v>4.2037560338127992E-2</v>
      </c>
      <c r="AY24" s="15">
        <v>5.4234450942393812E-2</v>
      </c>
      <c r="AZ24" s="15">
        <v>7.6407169366062261E-2</v>
      </c>
      <c r="BA24" s="15">
        <v>4.786997065262856E-2</v>
      </c>
      <c r="BB24" s="15">
        <v>8.5290190987897016E-2</v>
      </c>
      <c r="BC24" s="15">
        <v>6.134596683503446E-2</v>
      </c>
      <c r="BD24" s="15">
        <v>5.9295177055841239E-2</v>
      </c>
      <c r="BE24" s="15">
        <v>3.4172727405429926E-2</v>
      </c>
      <c r="BF24" s="15">
        <v>4.5454586640478328E-2</v>
      </c>
      <c r="BG24" s="15">
        <v>5.3096264271162132E-2</v>
      </c>
      <c r="BH24" s="15">
        <v>5.5998055669082371E-2</v>
      </c>
      <c r="BI24" s="15">
        <v>4.811590568563541E-2</v>
      </c>
      <c r="BJ24" s="15">
        <v>3.984462773855163E-2</v>
      </c>
      <c r="BK24" s="15">
        <v>4.668528432562763E-2</v>
      </c>
      <c r="BL24" s="15">
        <v>3.3888375829673752E-2</v>
      </c>
      <c r="BN24" s="18" t="s">
        <v>64</v>
      </c>
      <c r="BO24" s="13" t="s">
        <v>51</v>
      </c>
      <c r="BP24" s="13" t="s">
        <v>48</v>
      </c>
      <c r="BQ24" s="13" t="s">
        <v>50</v>
      </c>
      <c r="BR24" s="13" t="s">
        <v>50</v>
      </c>
      <c r="BS24" s="13" t="s">
        <v>46</v>
      </c>
      <c r="BT24" s="13" t="s">
        <v>48</v>
      </c>
      <c r="BU24" s="13" t="s">
        <v>49</v>
      </c>
      <c r="BV24" s="13" t="s">
        <v>47</v>
      </c>
      <c r="BW24" s="13" t="s">
        <v>47</v>
      </c>
      <c r="BX24" s="13" t="s">
        <v>46</v>
      </c>
      <c r="BY24" s="13" t="s">
        <v>46</v>
      </c>
      <c r="BZ24" s="13" t="s">
        <v>46</v>
      </c>
      <c r="CA24" s="13" t="s">
        <v>50</v>
      </c>
      <c r="CB24" s="13" t="s">
        <v>52</v>
      </c>
      <c r="CC24" s="13" t="s">
        <v>51</v>
      </c>
      <c r="CD24" s="13" t="s">
        <v>50</v>
      </c>
      <c r="CE24" s="13" t="s">
        <v>51</v>
      </c>
      <c r="CF24" s="13" t="s">
        <v>51</v>
      </c>
      <c r="CG24" s="13" t="s">
        <v>49</v>
      </c>
      <c r="CH24" s="13" t="s">
        <v>49</v>
      </c>
      <c r="CI24" s="13" t="s">
        <v>48</v>
      </c>
      <c r="CJ24" s="13" t="s">
        <v>49</v>
      </c>
      <c r="CK24" s="13" t="s">
        <v>49</v>
      </c>
      <c r="CL24" s="13" t="s">
        <v>48</v>
      </c>
      <c r="CM24" s="13" t="s">
        <v>46</v>
      </c>
      <c r="CN24" s="13" t="s">
        <v>48</v>
      </c>
      <c r="CO24" s="13" t="s">
        <v>47</v>
      </c>
      <c r="CP24" s="13" t="s">
        <v>47</v>
      </c>
      <c r="CQ24" s="13" t="s">
        <v>47</v>
      </c>
      <c r="CR24" s="13" t="s">
        <v>46</v>
      </c>
    </row>
    <row r="25" spans="2:96">
      <c r="B25" s="18" t="s">
        <v>65</v>
      </c>
      <c r="C25" s="20">
        <v>0.45219999999999994</v>
      </c>
      <c r="D25" s="20">
        <v>0.45389999999999997</v>
      </c>
      <c r="E25" s="20">
        <v>0.44459999999999994</v>
      </c>
      <c r="F25" s="20">
        <v>0.45429999999999998</v>
      </c>
      <c r="G25" s="20">
        <v>0.45469999999999994</v>
      </c>
      <c r="H25" s="20">
        <v>0.42939999999999995</v>
      </c>
      <c r="I25" s="20">
        <v>0.42629999999999996</v>
      </c>
      <c r="J25" s="20">
        <v>0.43229999999999996</v>
      </c>
      <c r="K25" s="20">
        <v>0.44959999999999994</v>
      </c>
      <c r="L25" s="20">
        <v>0.43149999999999994</v>
      </c>
      <c r="M25" s="20">
        <v>0.45439999999999997</v>
      </c>
      <c r="N25" s="20">
        <v>0.42389999999999994</v>
      </c>
      <c r="O25" s="20">
        <v>0.43049999999999994</v>
      </c>
      <c r="P25" s="20">
        <v>0.44059999999999994</v>
      </c>
      <c r="Q25" s="20">
        <v>0.45619999999999994</v>
      </c>
      <c r="R25" s="20">
        <v>0.43999999999999995</v>
      </c>
      <c r="S25" s="20">
        <v>0.45049999999999996</v>
      </c>
      <c r="T25" s="20">
        <v>0.42309999999999998</v>
      </c>
      <c r="U25" s="20">
        <v>0.45249999999999996</v>
      </c>
      <c r="V25" s="20">
        <v>0.43259999999999998</v>
      </c>
      <c r="W25" s="20">
        <v>0.42349999999999993</v>
      </c>
      <c r="X25" s="20">
        <v>0.42679999999999996</v>
      </c>
      <c r="Y25" s="20">
        <v>0.43379999999999996</v>
      </c>
      <c r="Z25" s="20">
        <v>0.44309999999999994</v>
      </c>
      <c r="AA25" s="20">
        <v>0.45059999999999995</v>
      </c>
      <c r="AB25" s="20">
        <v>0.42929999999999996</v>
      </c>
      <c r="AC25" s="20">
        <v>0.43719999999999998</v>
      </c>
      <c r="AD25" s="20">
        <v>0.42179999999999995</v>
      </c>
      <c r="AE25" s="20">
        <v>0.45549999999999996</v>
      </c>
      <c r="AF25" s="20">
        <v>0.42929999999999996</v>
      </c>
      <c r="AH25" s="18" t="s">
        <v>65</v>
      </c>
      <c r="AI25" s="15">
        <f>AI26*C26+AI30*C30</f>
        <v>4.7107229088022423E-2</v>
      </c>
      <c r="AJ25" s="15">
        <f t="shared" ref="AJ25:BL25" si="5">AJ26*D26+AJ30*D30</f>
        <v>3.8889527771660597E-2</v>
      </c>
      <c r="AK25" s="15">
        <f t="shared" si="5"/>
        <v>6.0921218624703455E-2</v>
      </c>
      <c r="AL25" s="15">
        <f t="shared" si="5"/>
        <v>6.4417831951822505E-2</v>
      </c>
      <c r="AM25" s="15">
        <f t="shared" si="5"/>
        <v>8.3648897411842144E-2</v>
      </c>
      <c r="AN25" s="15">
        <f t="shared" si="5"/>
        <v>5.6107770891727388E-2</v>
      </c>
      <c r="AO25" s="15">
        <f t="shared" si="5"/>
        <v>8.9022135559660889E-2</v>
      </c>
      <c r="AP25" s="15">
        <f t="shared" si="5"/>
        <v>7.3645559851820391E-2</v>
      </c>
      <c r="AQ25" s="15">
        <f t="shared" si="5"/>
        <v>4.7894917240959477E-2</v>
      </c>
      <c r="AR25" s="15">
        <f t="shared" si="5"/>
        <v>7.8831003170071606E-2</v>
      </c>
      <c r="AS25" s="15">
        <f t="shared" si="5"/>
        <v>5.1367351245802773E-2</v>
      </c>
      <c r="AT25" s="15">
        <f t="shared" si="5"/>
        <v>4.3288214819317578E-2</v>
      </c>
      <c r="AU25" s="15">
        <f t="shared" si="5"/>
        <v>6.8847624655704195E-2</v>
      </c>
      <c r="AV25" s="15">
        <f t="shared" si="5"/>
        <v>7.6389743393309922E-2</v>
      </c>
      <c r="AW25" s="15">
        <f t="shared" si="5"/>
        <v>0.10149082451445716</v>
      </c>
      <c r="AX25" s="15">
        <f t="shared" si="5"/>
        <v>5.0423419208310241E-2</v>
      </c>
      <c r="AY25" s="15">
        <f t="shared" si="5"/>
        <v>6.3185372683744079E-2</v>
      </c>
      <c r="AZ25" s="15">
        <f t="shared" si="5"/>
        <v>8.4175224486954234E-2</v>
      </c>
      <c r="BA25" s="15">
        <f t="shared" si="5"/>
        <v>5.6574363916989147E-2</v>
      </c>
      <c r="BB25" s="15">
        <f t="shared" si="5"/>
        <v>9.4239175763704205E-2</v>
      </c>
      <c r="BC25" s="15">
        <f t="shared" si="5"/>
        <v>7.0014405375402142E-2</v>
      </c>
      <c r="BD25" s="15">
        <f t="shared" si="5"/>
        <v>6.8039202173891644E-2</v>
      </c>
      <c r="BE25" s="15">
        <f t="shared" si="5"/>
        <v>4.3057926969273227E-2</v>
      </c>
      <c r="BF25" s="15">
        <f t="shared" si="5"/>
        <v>5.3517191776444956E-2</v>
      </c>
      <c r="BG25" s="15">
        <f t="shared" si="5"/>
        <v>6.1819883234906059E-2</v>
      </c>
      <c r="BH25" s="15">
        <f t="shared" si="5"/>
        <v>6.4200364395728626E-2</v>
      </c>
      <c r="BI25" s="15">
        <f t="shared" si="5"/>
        <v>5.6053465607460294E-2</v>
      </c>
      <c r="BJ25" s="15">
        <f t="shared" si="5"/>
        <v>4.8812261353881128E-2</v>
      </c>
      <c r="BK25" s="15">
        <f t="shared" si="5"/>
        <v>5.5339271750150118E-2</v>
      </c>
      <c r="BL25" s="15">
        <f t="shared" si="5"/>
        <v>4.2597436551369217E-2</v>
      </c>
      <c r="BN25" s="18" t="s">
        <v>65</v>
      </c>
      <c r="BO25" s="13" t="s">
        <v>46</v>
      </c>
      <c r="BP25" s="13" t="s">
        <v>49</v>
      </c>
      <c r="BQ25" s="13" t="s">
        <v>49</v>
      </c>
      <c r="BR25" s="13" t="s">
        <v>47</v>
      </c>
      <c r="BS25" s="13" t="s">
        <v>48</v>
      </c>
      <c r="BT25" s="13" t="s">
        <v>48</v>
      </c>
      <c r="BU25" s="13" t="s">
        <v>48</v>
      </c>
      <c r="BV25" s="13" t="s">
        <v>51</v>
      </c>
      <c r="BW25" s="13" t="s">
        <v>48</v>
      </c>
      <c r="BX25" s="13" t="s">
        <v>50</v>
      </c>
      <c r="BY25" s="13" t="s">
        <v>47</v>
      </c>
      <c r="BZ25" s="13" t="s">
        <v>47</v>
      </c>
      <c r="CA25" s="13" t="s">
        <v>49</v>
      </c>
      <c r="CB25" s="13" t="s">
        <v>47</v>
      </c>
      <c r="CC25" s="13" t="s">
        <v>51</v>
      </c>
      <c r="CD25" s="13" t="s">
        <v>49</v>
      </c>
      <c r="CE25" s="13" t="s">
        <v>51</v>
      </c>
      <c r="CF25" s="13" t="s">
        <v>48</v>
      </c>
      <c r="CG25" s="13" t="s">
        <v>50</v>
      </c>
      <c r="CH25" s="13" t="s">
        <v>46</v>
      </c>
      <c r="CI25" s="13" t="s">
        <v>46</v>
      </c>
      <c r="CJ25" s="13" t="s">
        <v>51</v>
      </c>
      <c r="CK25" s="13" t="s">
        <v>52</v>
      </c>
      <c r="CL25" s="13" t="s">
        <v>51</v>
      </c>
      <c r="CM25" s="13" t="s">
        <v>46</v>
      </c>
      <c r="CN25" s="13" t="s">
        <v>47</v>
      </c>
      <c r="CO25" s="13" t="s">
        <v>51</v>
      </c>
      <c r="CP25" s="13" t="s">
        <v>52</v>
      </c>
      <c r="CQ25" s="13" t="s">
        <v>50</v>
      </c>
      <c r="CR25" s="13" t="s">
        <v>49</v>
      </c>
    </row>
    <row r="26" spans="2:96">
      <c r="B26" s="21" t="s">
        <v>66</v>
      </c>
      <c r="C26" s="20">
        <f>1-C30</f>
        <v>0.75190000000000001</v>
      </c>
      <c r="D26" s="20">
        <f t="shared" ref="D26:AF26" si="6">1-D30</f>
        <v>0.75479999999999992</v>
      </c>
      <c r="E26" s="20">
        <f t="shared" si="6"/>
        <v>0.76379999999999992</v>
      </c>
      <c r="F26" s="20">
        <f t="shared" si="6"/>
        <v>0.76419999999999999</v>
      </c>
      <c r="G26" s="20">
        <f t="shared" si="6"/>
        <v>0.76439999999999997</v>
      </c>
      <c r="H26" s="20">
        <f t="shared" si="6"/>
        <v>0.75729999999999997</v>
      </c>
      <c r="I26" s="20">
        <f t="shared" si="6"/>
        <v>0.75359999999999994</v>
      </c>
      <c r="J26" s="20">
        <f t="shared" si="6"/>
        <v>0.75249999999999995</v>
      </c>
      <c r="K26" s="20">
        <f t="shared" si="6"/>
        <v>0.74219999999999997</v>
      </c>
      <c r="L26" s="20">
        <f t="shared" si="6"/>
        <v>0.7621</v>
      </c>
      <c r="M26" s="20">
        <f t="shared" si="6"/>
        <v>0.76169999999999993</v>
      </c>
      <c r="N26" s="20">
        <f t="shared" si="6"/>
        <v>0.76989999999999992</v>
      </c>
      <c r="O26" s="20">
        <f t="shared" si="6"/>
        <v>0.74909999999999988</v>
      </c>
      <c r="P26" s="20">
        <f t="shared" si="6"/>
        <v>0.76919999999999988</v>
      </c>
      <c r="Q26" s="20">
        <f t="shared" si="6"/>
        <v>0.76219999999999999</v>
      </c>
      <c r="R26" s="20">
        <f t="shared" si="6"/>
        <v>0.75669999999999993</v>
      </c>
      <c r="S26" s="20">
        <f t="shared" si="6"/>
        <v>0.74269999999999992</v>
      </c>
      <c r="T26" s="20">
        <f t="shared" si="6"/>
        <v>0.7750999999999999</v>
      </c>
      <c r="U26" s="20">
        <f t="shared" si="6"/>
        <v>0.74429999999999996</v>
      </c>
      <c r="V26" s="20">
        <f t="shared" si="6"/>
        <v>0.74089999999999989</v>
      </c>
      <c r="W26" s="20">
        <f t="shared" si="6"/>
        <v>0.748</v>
      </c>
      <c r="X26" s="20">
        <f t="shared" si="6"/>
        <v>0.74539999999999995</v>
      </c>
      <c r="Y26" s="20">
        <f t="shared" si="6"/>
        <v>0.74479999999999991</v>
      </c>
      <c r="Z26" s="20">
        <f t="shared" si="6"/>
        <v>0.76819999999999999</v>
      </c>
      <c r="AA26" s="20">
        <f t="shared" si="6"/>
        <v>0.75069999999999992</v>
      </c>
      <c r="AB26" s="20">
        <f t="shared" si="6"/>
        <v>0.75959999999999994</v>
      </c>
      <c r="AC26" s="20">
        <f t="shared" si="6"/>
        <v>0.76729999999999998</v>
      </c>
      <c r="AD26" s="20">
        <f t="shared" si="6"/>
        <v>0.74139999999999995</v>
      </c>
      <c r="AE26" s="20">
        <f t="shared" si="6"/>
        <v>0.74559999999999993</v>
      </c>
      <c r="AF26" s="20">
        <f t="shared" si="6"/>
        <v>0.74559999999999993</v>
      </c>
      <c r="AH26" s="21" t="s">
        <v>66</v>
      </c>
      <c r="AI26" s="15">
        <f>SUMPRODUCT(AI27:AI29,C27:C29)</f>
        <v>3.8624411719301581E-2</v>
      </c>
      <c r="AJ26" s="15">
        <f t="shared" ref="AJ26:BL26" si="7">SUMPRODUCT(AJ27:AJ29,D27:D29)</f>
        <v>3.0591971005361956E-2</v>
      </c>
      <c r="AK26" s="15">
        <f t="shared" si="7"/>
        <v>5.291049342826256E-2</v>
      </c>
      <c r="AL26" s="15">
        <f t="shared" si="7"/>
        <v>5.6410439581985251E-2</v>
      </c>
      <c r="AM26" s="15">
        <f t="shared" si="7"/>
        <v>7.561480593893663E-2</v>
      </c>
      <c r="AN26" s="15">
        <f t="shared" si="7"/>
        <v>4.7776442084116154E-2</v>
      </c>
      <c r="AO26" s="15">
        <f t="shared" si="7"/>
        <v>8.0638224027234362E-2</v>
      </c>
      <c r="AP26" s="15">
        <f t="shared" si="7"/>
        <v>6.5225094633984876E-2</v>
      </c>
      <c r="AQ26" s="15">
        <f t="shared" si="7"/>
        <v>3.9130154070752397E-2</v>
      </c>
      <c r="AR26" s="15">
        <f t="shared" si="7"/>
        <v>7.0764644877874788E-2</v>
      </c>
      <c r="AS26" s="15">
        <f t="shared" si="7"/>
        <v>4.3261004508464228E-2</v>
      </c>
      <c r="AT26" s="15">
        <f t="shared" si="7"/>
        <v>3.5477304186634528E-2</v>
      </c>
      <c r="AU26" s="15">
        <f t="shared" si="7"/>
        <v>6.0295776994814615E-2</v>
      </c>
      <c r="AV26" s="15">
        <f t="shared" si="7"/>
        <v>6.8553577429289025E-2</v>
      </c>
      <c r="AW26" s="15">
        <f t="shared" si="7"/>
        <v>9.3349531039180464E-2</v>
      </c>
      <c r="AX26" s="15">
        <f t="shared" si="7"/>
        <v>4.2177091795564128E-2</v>
      </c>
      <c r="AY26" s="15">
        <f t="shared" si="7"/>
        <v>5.4431176021646099E-2</v>
      </c>
      <c r="AZ26" s="15">
        <f t="shared" si="7"/>
        <v>7.6457717277858842E-2</v>
      </c>
      <c r="BA26" s="15">
        <f t="shared" si="7"/>
        <v>4.7879108002183535E-2</v>
      </c>
      <c r="BB26" s="15">
        <f t="shared" si="7"/>
        <v>8.5451119807814668E-2</v>
      </c>
      <c r="BC26" s="15">
        <f t="shared" si="7"/>
        <v>6.1366455124714975E-2</v>
      </c>
      <c r="BD26" s="15">
        <f t="shared" si="7"/>
        <v>5.9308435313517302E-2</v>
      </c>
      <c r="BE26" s="15">
        <f t="shared" si="7"/>
        <v>3.4414516906438389E-2</v>
      </c>
      <c r="BF26" s="15">
        <f t="shared" si="7"/>
        <v>4.5670937979065254E-2</v>
      </c>
      <c r="BG26" s="15">
        <f t="shared" si="7"/>
        <v>5.3352778442293344E-2</v>
      </c>
      <c r="BH26" s="15">
        <f t="shared" si="7"/>
        <v>5.600962293179261E-2</v>
      </c>
      <c r="BI26" s="15">
        <f t="shared" si="7"/>
        <v>4.8089626916041274E-2</v>
      </c>
      <c r="BJ26" s="15">
        <f t="shared" si="7"/>
        <v>3.9953004298834742E-2</v>
      </c>
      <c r="BK26" s="15">
        <f t="shared" si="7"/>
        <v>4.6624200680216783E-2</v>
      </c>
      <c r="BL26" s="15">
        <f t="shared" si="7"/>
        <v>3.3957905254505621E-2</v>
      </c>
      <c r="BN26" s="21" t="s">
        <v>66</v>
      </c>
      <c r="BO26" s="13" t="s">
        <v>47</v>
      </c>
      <c r="BP26" s="13" t="s">
        <v>48</v>
      </c>
      <c r="BQ26" s="13" t="s">
        <v>46</v>
      </c>
      <c r="BR26" s="13" t="s">
        <v>52</v>
      </c>
      <c r="BS26" s="13" t="s">
        <v>48</v>
      </c>
      <c r="BT26" s="13" t="s">
        <v>47</v>
      </c>
      <c r="BU26" s="13" t="s">
        <v>49</v>
      </c>
      <c r="BV26" s="13" t="s">
        <v>46</v>
      </c>
      <c r="BW26" s="13" t="s">
        <v>50</v>
      </c>
      <c r="BX26" s="13" t="s">
        <v>51</v>
      </c>
      <c r="BY26" s="13" t="s">
        <v>48</v>
      </c>
      <c r="BZ26" s="13" t="s">
        <v>50</v>
      </c>
      <c r="CA26" s="13" t="s">
        <v>51</v>
      </c>
      <c r="CB26" s="13" t="s">
        <v>50</v>
      </c>
      <c r="CC26" s="13" t="s">
        <v>46</v>
      </c>
      <c r="CD26" s="13" t="s">
        <v>47</v>
      </c>
      <c r="CE26" s="13" t="s">
        <v>46</v>
      </c>
      <c r="CF26" s="13" t="s">
        <v>52</v>
      </c>
      <c r="CG26" s="13" t="s">
        <v>46</v>
      </c>
      <c r="CH26" s="13" t="s">
        <v>50</v>
      </c>
      <c r="CI26" s="13" t="s">
        <v>49</v>
      </c>
      <c r="CJ26" s="13" t="s">
        <v>48</v>
      </c>
      <c r="CK26" s="13" t="s">
        <v>47</v>
      </c>
      <c r="CL26" s="13" t="s">
        <v>48</v>
      </c>
      <c r="CM26" s="13" t="s">
        <v>49</v>
      </c>
      <c r="CN26" s="13" t="s">
        <v>47</v>
      </c>
      <c r="CO26" s="13" t="s">
        <v>47</v>
      </c>
      <c r="CP26" s="13" t="s">
        <v>51</v>
      </c>
      <c r="CQ26" s="13" t="s">
        <v>49</v>
      </c>
      <c r="CR26" s="13" t="s">
        <v>46</v>
      </c>
    </row>
    <row r="27" spans="2:96">
      <c r="B27" s="22" t="s">
        <v>67</v>
      </c>
      <c r="C27" s="20">
        <f>1-SUM(C28:C29)</f>
        <v>0.65779999999999994</v>
      </c>
      <c r="D27" s="20">
        <f t="shared" ref="D27:AF27" si="8">1-SUM(D28:D29)</f>
        <v>0.67799999999999994</v>
      </c>
      <c r="E27" s="20">
        <f t="shared" si="8"/>
        <v>0.67649999999999988</v>
      </c>
      <c r="F27" s="20">
        <f t="shared" si="8"/>
        <v>0.65599999999999992</v>
      </c>
      <c r="G27" s="20">
        <f t="shared" si="8"/>
        <v>0.68979999999999997</v>
      </c>
      <c r="H27" s="20">
        <f t="shared" si="8"/>
        <v>0.67389999999999994</v>
      </c>
      <c r="I27" s="20">
        <f t="shared" si="8"/>
        <v>0.69369999999999998</v>
      </c>
      <c r="J27" s="20">
        <f t="shared" si="8"/>
        <v>0.70279999999999998</v>
      </c>
      <c r="K27" s="20">
        <f t="shared" si="8"/>
        <v>0.69529999999999992</v>
      </c>
      <c r="L27" s="20">
        <f t="shared" si="8"/>
        <v>0.68519999999999992</v>
      </c>
      <c r="M27" s="20">
        <f t="shared" si="8"/>
        <v>0.69019999999999992</v>
      </c>
      <c r="N27" s="20">
        <f t="shared" si="8"/>
        <v>0.66379999999999995</v>
      </c>
      <c r="O27" s="20">
        <f t="shared" si="8"/>
        <v>0.70379999999999998</v>
      </c>
      <c r="P27" s="20">
        <f t="shared" si="8"/>
        <v>0.64989999999999992</v>
      </c>
      <c r="Q27" s="20">
        <f t="shared" si="8"/>
        <v>0.70409999999999995</v>
      </c>
      <c r="R27" s="20">
        <f t="shared" si="8"/>
        <v>0.6621999999999999</v>
      </c>
      <c r="S27" s="20">
        <f t="shared" si="8"/>
        <v>0.67479999999999996</v>
      </c>
      <c r="T27" s="20">
        <f t="shared" si="8"/>
        <v>0.70529999999999993</v>
      </c>
      <c r="U27" s="20">
        <f t="shared" si="8"/>
        <v>0.7024999999999999</v>
      </c>
      <c r="V27" s="20">
        <f t="shared" si="8"/>
        <v>0.69229999999999992</v>
      </c>
      <c r="W27" s="20">
        <f t="shared" si="8"/>
        <v>0.65829999999999989</v>
      </c>
      <c r="X27" s="20">
        <f t="shared" si="8"/>
        <v>0.70329999999999993</v>
      </c>
      <c r="Y27" s="20">
        <f t="shared" si="8"/>
        <v>0.68279999999999996</v>
      </c>
      <c r="Z27" s="20">
        <f t="shared" si="8"/>
        <v>0.65939999999999999</v>
      </c>
      <c r="AA27" s="20">
        <f t="shared" si="8"/>
        <v>0.66569999999999996</v>
      </c>
      <c r="AB27" s="20">
        <f t="shared" si="8"/>
        <v>0.6653</v>
      </c>
      <c r="AC27" s="20">
        <f t="shared" si="8"/>
        <v>0.6833999999999999</v>
      </c>
      <c r="AD27" s="20">
        <f t="shared" si="8"/>
        <v>0.68109999999999993</v>
      </c>
      <c r="AE27" s="20">
        <f t="shared" si="8"/>
        <v>0.6734</v>
      </c>
      <c r="AF27" s="20">
        <f t="shared" si="8"/>
        <v>0.65359999999999996</v>
      </c>
      <c r="AH27" s="22" t="s">
        <v>67</v>
      </c>
      <c r="AI27" s="15">
        <v>3.7653693721400899E-2</v>
      </c>
      <c r="AJ27" s="15">
        <v>2.9518485190919215E-2</v>
      </c>
      <c r="AK27" s="15">
        <v>5.1826742727334965E-2</v>
      </c>
      <c r="AL27" s="15">
        <v>5.5482406578750497E-2</v>
      </c>
      <c r="AM27" s="15">
        <v>7.4788963973340311E-2</v>
      </c>
      <c r="AN27" s="15">
        <v>4.6947685675427356E-2</v>
      </c>
      <c r="AO27" s="15">
        <v>7.963807901273165E-2</v>
      </c>
      <c r="AP27" s="15">
        <v>6.4314296322209169E-2</v>
      </c>
      <c r="AQ27" s="15">
        <v>3.8205299618491277E-2</v>
      </c>
      <c r="AR27" s="15">
        <v>6.9735033041795833E-2</v>
      </c>
      <c r="AS27" s="15">
        <v>4.241896584014089E-2</v>
      </c>
      <c r="AT27" s="15">
        <v>3.4552786188733843E-2</v>
      </c>
      <c r="AU27" s="15">
        <v>5.9438942769583759E-2</v>
      </c>
      <c r="AV27" s="15">
        <v>6.7637689647750465E-2</v>
      </c>
      <c r="AW27" s="15">
        <v>9.2487296132858804E-2</v>
      </c>
      <c r="AX27" s="15">
        <v>4.1214551527360754E-2</v>
      </c>
      <c r="AY27" s="15">
        <v>5.3411442131626574E-2</v>
      </c>
      <c r="AZ27" s="15">
        <v>7.5584160555295016E-2</v>
      </c>
      <c r="BA27" s="15">
        <v>4.7046961841861322E-2</v>
      </c>
      <c r="BB27" s="15">
        <v>8.4467182177129785E-2</v>
      </c>
      <c r="BC27" s="15">
        <v>6.0522958024267222E-2</v>
      </c>
      <c r="BD27" s="15">
        <v>5.8472168245074001E-2</v>
      </c>
      <c r="BE27" s="15">
        <v>3.3349718594662688E-2</v>
      </c>
      <c r="BF27" s="15">
        <v>4.463157782971109E-2</v>
      </c>
      <c r="BG27" s="15">
        <v>5.2273255460394893E-2</v>
      </c>
      <c r="BH27" s="15">
        <v>5.5175046858315133E-2</v>
      </c>
      <c r="BI27" s="15">
        <v>4.7292896874868172E-2</v>
      </c>
      <c r="BJ27" s="15">
        <v>3.9021618927784392E-2</v>
      </c>
      <c r="BK27" s="15">
        <v>4.5862275514860391E-2</v>
      </c>
      <c r="BL27" s="15">
        <v>3.3065367018906514E-2</v>
      </c>
      <c r="BN27" s="22" t="s">
        <v>67</v>
      </c>
      <c r="BO27" s="13" t="s">
        <v>49</v>
      </c>
      <c r="BP27" s="13" t="s">
        <v>48</v>
      </c>
      <c r="BQ27" s="13" t="s">
        <v>51</v>
      </c>
      <c r="BR27" s="13" t="s">
        <v>48</v>
      </c>
      <c r="BS27" s="13" t="s">
        <v>50</v>
      </c>
      <c r="BT27" s="13" t="s">
        <v>46</v>
      </c>
      <c r="BU27" s="13" t="s">
        <v>52</v>
      </c>
      <c r="BV27" s="13" t="s">
        <v>48</v>
      </c>
      <c r="BW27" s="13" t="s">
        <v>50</v>
      </c>
      <c r="BX27" s="13" t="s">
        <v>49</v>
      </c>
      <c r="BY27" s="13" t="s">
        <v>48</v>
      </c>
      <c r="BZ27" s="13" t="s">
        <v>48</v>
      </c>
      <c r="CA27" s="13" t="s">
        <v>50</v>
      </c>
      <c r="CB27" s="13" t="s">
        <v>50</v>
      </c>
      <c r="CC27" s="13" t="s">
        <v>51</v>
      </c>
      <c r="CD27" s="13" t="s">
        <v>51</v>
      </c>
      <c r="CE27" s="13" t="s">
        <v>50</v>
      </c>
      <c r="CF27" s="13" t="s">
        <v>47</v>
      </c>
      <c r="CG27" s="13" t="s">
        <v>46</v>
      </c>
      <c r="CH27" s="13" t="s">
        <v>46</v>
      </c>
      <c r="CI27" s="13" t="s">
        <v>50</v>
      </c>
      <c r="CJ27" s="13" t="s">
        <v>52</v>
      </c>
      <c r="CK27" s="13" t="s">
        <v>48</v>
      </c>
      <c r="CL27" s="13" t="s">
        <v>47</v>
      </c>
      <c r="CM27" s="13" t="s">
        <v>52</v>
      </c>
      <c r="CN27" s="13" t="s">
        <v>47</v>
      </c>
      <c r="CO27" s="13" t="s">
        <v>47</v>
      </c>
      <c r="CP27" s="13" t="s">
        <v>50</v>
      </c>
      <c r="CQ27" s="13" t="s">
        <v>49</v>
      </c>
      <c r="CR27" s="13" t="s">
        <v>47</v>
      </c>
    </row>
    <row r="28" spans="2:96">
      <c r="B28" s="22" t="s">
        <v>68</v>
      </c>
      <c r="C28" s="20">
        <v>0.1295</v>
      </c>
      <c r="D28" s="20">
        <v>0.1094</v>
      </c>
      <c r="E28" s="20">
        <v>0.1095</v>
      </c>
      <c r="F28" s="20">
        <v>0.13389999999999999</v>
      </c>
      <c r="G28" s="20">
        <v>0.1216</v>
      </c>
      <c r="H28" s="20">
        <v>0.13089999999999999</v>
      </c>
      <c r="I28" s="20">
        <v>0.10569999999999999</v>
      </c>
      <c r="J28" s="20">
        <v>0.10719999999999999</v>
      </c>
      <c r="K28" s="20">
        <v>0.1106</v>
      </c>
      <c r="L28" s="20">
        <v>0.1085</v>
      </c>
      <c r="M28" s="20">
        <v>0.1201</v>
      </c>
      <c r="N28" s="20">
        <v>0.1295</v>
      </c>
      <c r="O28" s="20">
        <v>0.1108</v>
      </c>
      <c r="P28" s="20">
        <v>0.13850000000000001</v>
      </c>
      <c r="Q28" s="20">
        <v>0.11019999999999999</v>
      </c>
      <c r="R28" s="20">
        <v>0.1275</v>
      </c>
      <c r="S28" s="20">
        <v>0.11549999999999999</v>
      </c>
      <c r="T28" s="20">
        <v>0.1086</v>
      </c>
      <c r="U28" s="20">
        <v>0.11349999999999999</v>
      </c>
      <c r="V28" s="20">
        <v>0.10779999999999999</v>
      </c>
      <c r="W28" s="20">
        <v>0.1391</v>
      </c>
      <c r="X28" s="20">
        <v>0.11269999999999999</v>
      </c>
      <c r="Y28" s="20">
        <v>0.10719999999999999</v>
      </c>
      <c r="Z28" s="20">
        <v>0.12319999999999999</v>
      </c>
      <c r="AA28" s="20">
        <v>0.1163</v>
      </c>
      <c r="AB28" s="20">
        <v>0.1356</v>
      </c>
      <c r="AC28" s="20">
        <v>0.12770000000000001</v>
      </c>
      <c r="AD28" s="20">
        <v>0.1186</v>
      </c>
      <c r="AE28" s="20">
        <v>0.13639999999999999</v>
      </c>
      <c r="AF28" s="20">
        <v>0.1381</v>
      </c>
      <c r="AH28" s="22" t="s">
        <v>68</v>
      </c>
      <c r="AI28" s="15">
        <v>3.2502558570054803E-2</v>
      </c>
      <c r="AJ28" s="15">
        <v>2.4367350039573119E-2</v>
      </c>
      <c r="AK28" s="15">
        <v>4.6675607575988869E-2</v>
      </c>
      <c r="AL28" s="15">
        <v>5.03312714274044E-2</v>
      </c>
      <c r="AM28" s="15">
        <v>6.9637828821994222E-2</v>
      </c>
      <c r="AN28" s="15">
        <v>4.1796550524081259E-2</v>
      </c>
      <c r="AO28" s="15">
        <v>7.4486943861385546E-2</v>
      </c>
      <c r="AP28" s="15">
        <v>5.9163161170863079E-2</v>
      </c>
      <c r="AQ28" s="15">
        <v>3.3054164467145181E-2</v>
      </c>
      <c r="AR28" s="15">
        <v>6.4583897890449743E-2</v>
      </c>
      <c r="AS28" s="15">
        <v>3.7267830688794794E-2</v>
      </c>
      <c r="AT28" s="15">
        <v>2.9401651037387747E-2</v>
      </c>
      <c r="AU28" s="15">
        <v>5.4287807618237663E-2</v>
      </c>
      <c r="AV28" s="15">
        <v>6.2486554496404369E-2</v>
      </c>
      <c r="AW28" s="15">
        <v>8.7336160981512714E-2</v>
      </c>
      <c r="AX28" s="15">
        <v>3.6063416376014658E-2</v>
      </c>
      <c r="AY28" s="15">
        <v>4.8260306980280478E-2</v>
      </c>
      <c r="AZ28" s="15">
        <v>7.0433025403948926E-2</v>
      </c>
      <c r="BA28" s="15">
        <v>4.1895826690515225E-2</v>
      </c>
      <c r="BB28" s="15">
        <v>7.9316047025783681E-2</v>
      </c>
      <c r="BC28" s="15">
        <v>5.5371822872921125E-2</v>
      </c>
      <c r="BD28" s="15">
        <v>5.3321033093727904E-2</v>
      </c>
      <c r="BE28" s="15">
        <v>2.8198583443316591E-2</v>
      </c>
      <c r="BF28" s="15">
        <v>3.9480442678364994E-2</v>
      </c>
      <c r="BG28" s="15">
        <v>4.7122120309048797E-2</v>
      </c>
      <c r="BH28" s="15">
        <v>5.0023911706969036E-2</v>
      </c>
      <c r="BI28" s="15">
        <v>4.2141761723522075E-2</v>
      </c>
      <c r="BJ28" s="15">
        <v>3.3870483776438295E-2</v>
      </c>
      <c r="BK28" s="15">
        <v>4.0711140363514295E-2</v>
      </c>
      <c r="BL28" s="15">
        <v>2.7914231867560417E-2</v>
      </c>
      <c r="BN28" s="22" t="s">
        <v>68</v>
      </c>
      <c r="BO28" s="13" t="s">
        <v>52</v>
      </c>
      <c r="BP28" s="13" t="s">
        <v>50</v>
      </c>
      <c r="BQ28" s="13" t="s">
        <v>51</v>
      </c>
      <c r="BR28" s="13" t="s">
        <v>49</v>
      </c>
      <c r="BS28" s="13" t="s">
        <v>52</v>
      </c>
      <c r="BT28" s="13" t="s">
        <v>51</v>
      </c>
      <c r="BU28" s="13" t="s">
        <v>46</v>
      </c>
      <c r="BV28" s="13" t="s">
        <v>46</v>
      </c>
      <c r="BW28" s="13" t="s">
        <v>48</v>
      </c>
      <c r="BX28" s="13" t="s">
        <v>48</v>
      </c>
      <c r="BY28" s="13" t="s">
        <v>51</v>
      </c>
      <c r="BZ28" s="13" t="s">
        <v>48</v>
      </c>
      <c r="CA28" s="13" t="s">
        <v>52</v>
      </c>
      <c r="CB28" s="13" t="s">
        <v>48</v>
      </c>
      <c r="CC28" s="13" t="s">
        <v>49</v>
      </c>
      <c r="CD28" s="13" t="s">
        <v>52</v>
      </c>
      <c r="CE28" s="13" t="s">
        <v>52</v>
      </c>
      <c r="CF28" s="13" t="s">
        <v>49</v>
      </c>
      <c r="CG28" s="13" t="s">
        <v>49</v>
      </c>
      <c r="CH28" s="13" t="s">
        <v>48</v>
      </c>
      <c r="CI28" s="13" t="s">
        <v>48</v>
      </c>
      <c r="CJ28" s="13" t="s">
        <v>50</v>
      </c>
      <c r="CK28" s="13" t="s">
        <v>51</v>
      </c>
      <c r="CL28" s="13" t="s">
        <v>49</v>
      </c>
      <c r="CM28" s="13" t="s">
        <v>52</v>
      </c>
      <c r="CN28" s="13" t="s">
        <v>47</v>
      </c>
      <c r="CO28" s="13" t="s">
        <v>52</v>
      </c>
      <c r="CP28" s="13" t="s">
        <v>50</v>
      </c>
      <c r="CQ28" s="13" t="s">
        <v>52</v>
      </c>
      <c r="CR28" s="13" t="s">
        <v>46</v>
      </c>
    </row>
    <row r="29" spans="2:96">
      <c r="B29" s="22" t="s">
        <v>69</v>
      </c>
      <c r="C29" s="20">
        <v>0.21270000000000006</v>
      </c>
      <c r="D29" s="20">
        <v>0.21260000000000007</v>
      </c>
      <c r="E29" s="20">
        <v>0.21400000000000008</v>
      </c>
      <c r="F29" s="20">
        <v>0.21010000000000006</v>
      </c>
      <c r="G29" s="20">
        <v>0.18860000000000007</v>
      </c>
      <c r="H29" s="20">
        <v>0.19520000000000007</v>
      </c>
      <c r="I29" s="20">
        <v>0.20060000000000006</v>
      </c>
      <c r="J29" s="20">
        <v>0.19000000000000006</v>
      </c>
      <c r="K29" s="20">
        <v>0.19410000000000008</v>
      </c>
      <c r="L29" s="20">
        <v>0.20630000000000007</v>
      </c>
      <c r="M29" s="20">
        <v>0.18970000000000006</v>
      </c>
      <c r="N29" s="20">
        <v>0.20670000000000008</v>
      </c>
      <c r="O29" s="20">
        <v>0.18540000000000006</v>
      </c>
      <c r="P29" s="20">
        <v>0.21160000000000007</v>
      </c>
      <c r="Q29" s="20">
        <v>0.18570000000000006</v>
      </c>
      <c r="R29" s="20">
        <v>0.21030000000000007</v>
      </c>
      <c r="S29" s="20">
        <v>0.20970000000000005</v>
      </c>
      <c r="T29" s="20">
        <v>0.18610000000000007</v>
      </c>
      <c r="U29" s="20">
        <v>0.18400000000000005</v>
      </c>
      <c r="V29" s="20">
        <v>0.19990000000000008</v>
      </c>
      <c r="W29" s="20">
        <v>0.20260000000000006</v>
      </c>
      <c r="X29" s="20">
        <v>0.18400000000000005</v>
      </c>
      <c r="Y29" s="20">
        <v>0.21000000000000008</v>
      </c>
      <c r="Z29" s="20">
        <v>0.21740000000000007</v>
      </c>
      <c r="AA29" s="20">
        <v>0.21800000000000008</v>
      </c>
      <c r="AB29" s="20">
        <v>0.19910000000000005</v>
      </c>
      <c r="AC29" s="20">
        <v>0.18890000000000007</v>
      </c>
      <c r="AD29" s="20">
        <v>0.20030000000000006</v>
      </c>
      <c r="AE29" s="20">
        <v>0.19020000000000006</v>
      </c>
      <c r="AF29" s="20">
        <v>0.20830000000000007</v>
      </c>
      <c r="AH29" s="22" t="s">
        <v>69</v>
      </c>
      <c r="AI29" s="15">
        <v>4.5353693721400898E-2</v>
      </c>
      <c r="AJ29" s="15">
        <v>3.7218485190919214E-2</v>
      </c>
      <c r="AK29" s="15">
        <v>5.9526742727334964E-2</v>
      </c>
      <c r="AL29" s="15">
        <v>6.3182406578750488E-2</v>
      </c>
      <c r="AM29" s="15">
        <v>8.2488963973340323E-2</v>
      </c>
      <c r="AN29" s="15">
        <v>5.4647685675427354E-2</v>
      </c>
      <c r="AO29" s="15">
        <v>8.7338079012731634E-2</v>
      </c>
      <c r="AP29" s="15">
        <v>7.2014296322209181E-2</v>
      </c>
      <c r="AQ29" s="15">
        <v>4.5905299618491276E-2</v>
      </c>
      <c r="AR29" s="15">
        <v>7.7435033041795831E-2</v>
      </c>
      <c r="AS29" s="15">
        <v>5.0118965840140889E-2</v>
      </c>
      <c r="AT29" s="15">
        <v>4.2252786188733842E-2</v>
      </c>
      <c r="AU29" s="15">
        <v>6.7138942769583765E-2</v>
      </c>
      <c r="AV29" s="15">
        <v>7.5337689647750464E-2</v>
      </c>
      <c r="AW29" s="15">
        <v>0.10018729613285882</v>
      </c>
      <c r="AX29" s="15">
        <v>4.8914551527360753E-2</v>
      </c>
      <c r="AY29" s="15">
        <v>6.1111442131626573E-2</v>
      </c>
      <c r="AZ29" s="15">
        <v>8.3284160555295028E-2</v>
      </c>
      <c r="BA29" s="15">
        <v>5.474696184186132E-2</v>
      </c>
      <c r="BB29" s="15">
        <v>9.2167182177129769E-2</v>
      </c>
      <c r="BC29" s="15">
        <v>6.8222958024267227E-2</v>
      </c>
      <c r="BD29" s="15">
        <v>6.6172168245073992E-2</v>
      </c>
      <c r="BE29" s="15">
        <v>4.1049718594662686E-2</v>
      </c>
      <c r="BF29" s="15">
        <v>5.2331577829711089E-2</v>
      </c>
      <c r="BG29" s="15">
        <v>5.9973255460394892E-2</v>
      </c>
      <c r="BH29" s="15">
        <v>6.2875046858315131E-2</v>
      </c>
      <c r="BI29" s="15">
        <v>5.499289687486817E-2</v>
      </c>
      <c r="BJ29" s="15">
        <v>4.672161892778439E-2</v>
      </c>
      <c r="BK29" s="15">
        <v>5.356227551486039E-2</v>
      </c>
      <c r="BL29" s="15">
        <v>4.0765367018906512E-2</v>
      </c>
      <c r="BN29" s="22" t="s">
        <v>69</v>
      </c>
      <c r="BO29" s="13" t="s">
        <v>52</v>
      </c>
      <c r="BP29" s="13" t="s">
        <v>48</v>
      </c>
      <c r="BQ29" s="13" t="s">
        <v>51</v>
      </c>
      <c r="BR29" s="13" t="s">
        <v>52</v>
      </c>
      <c r="BS29" s="13" t="s">
        <v>46</v>
      </c>
      <c r="BT29" s="13" t="s">
        <v>46</v>
      </c>
      <c r="BU29" s="13" t="s">
        <v>48</v>
      </c>
      <c r="BV29" s="13" t="s">
        <v>47</v>
      </c>
      <c r="BW29" s="13" t="s">
        <v>48</v>
      </c>
      <c r="BX29" s="13" t="s">
        <v>51</v>
      </c>
      <c r="BY29" s="13" t="s">
        <v>47</v>
      </c>
      <c r="BZ29" s="13" t="s">
        <v>50</v>
      </c>
      <c r="CA29" s="13" t="s">
        <v>47</v>
      </c>
      <c r="CB29" s="13" t="s">
        <v>52</v>
      </c>
      <c r="CC29" s="13" t="s">
        <v>47</v>
      </c>
      <c r="CD29" s="13" t="s">
        <v>49</v>
      </c>
      <c r="CE29" s="13" t="s">
        <v>49</v>
      </c>
      <c r="CF29" s="13" t="s">
        <v>50</v>
      </c>
      <c r="CG29" s="13" t="s">
        <v>50</v>
      </c>
      <c r="CH29" s="13" t="s">
        <v>47</v>
      </c>
      <c r="CI29" s="13" t="s">
        <v>50</v>
      </c>
      <c r="CJ29" s="13" t="s">
        <v>52</v>
      </c>
      <c r="CK29" s="13" t="s">
        <v>51</v>
      </c>
      <c r="CL29" s="13" t="s">
        <v>48</v>
      </c>
      <c r="CM29" s="13" t="s">
        <v>50</v>
      </c>
      <c r="CN29" s="13" t="s">
        <v>51</v>
      </c>
      <c r="CO29" s="13" t="s">
        <v>48</v>
      </c>
      <c r="CP29" s="13" t="s">
        <v>48</v>
      </c>
      <c r="CQ29" s="13" t="s">
        <v>50</v>
      </c>
      <c r="CR29" s="13" t="s">
        <v>48</v>
      </c>
    </row>
    <row r="30" spans="2:96">
      <c r="B30" s="21" t="s">
        <v>70</v>
      </c>
      <c r="C30" s="20">
        <v>0.24810000000000004</v>
      </c>
      <c r="D30" s="20">
        <v>0.24520000000000006</v>
      </c>
      <c r="E30" s="20">
        <v>0.23620000000000005</v>
      </c>
      <c r="F30" s="20">
        <v>0.23580000000000004</v>
      </c>
      <c r="G30" s="20">
        <v>0.23560000000000006</v>
      </c>
      <c r="H30" s="20">
        <v>0.24270000000000005</v>
      </c>
      <c r="I30" s="20">
        <v>0.24640000000000004</v>
      </c>
      <c r="J30" s="20">
        <v>0.24750000000000005</v>
      </c>
      <c r="K30" s="20">
        <v>0.25780000000000003</v>
      </c>
      <c r="L30" s="20">
        <v>0.23790000000000006</v>
      </c>
      <c r="M30" s="20">
        <v>0.23830000000000004</v>
      </c>
      <c r="N30" s="20">
        <v>0.23010000000000005</v>
      </c>
      <c r="O30" s="20">
        <v>0.25090000000000007</v>
      </c>
      <c r="P30" s="20">
        <v>0.23080000000000006</v>
      </c>
      <c r="Q30" s="20">
        <v>0.23780000000000004</v>
      </c>
      <c r="R30" s="20">
        <v>0.24330000000000004</v>
      </c>
      <c r="S30" s="20">
        <v>0.25730000000000003</v>
      </c>
      <c r="T30" s="20">
        <v>0.22490000000000004</v>
      </c>
      <c r="U30" s="20">
        <v>0.25570000000000004</v>
      </c>
      <c r="V30" s="20">
        <v>0.25910000000000005</v>
      </c>
      <c r="W30" s="20">
        <v>0.25200000000000006</v>
      </c>
      <c r="X30" s="20">
        <v>0.25460000000000005</v>
      </c>
      <c r="Y30" s="20">
        <v>0.25520000000000004</v>
      </c>
      <c r="Z30" s="20">
        <v>0.23180000000000006</v>
      </c>
      <c r="AA30" s="20">
        <v>0.24930000000000005</v>
      </c>
      <c r="AB30" s="20">
        <v>0.24040000000000006</v>
      </c>
      <c r="AC30" s="20">
        <v>0.23270000000000005</v>
      </c>
      <c r="AD30" s="20">
        <v>0.25860000000000005</v>
      </c>
      <c r="AE30" s="20">
        <v>0.25440000000000007</v>
      </c>
      <c r="AF30" s="20">
        <v>0.25440000000000007</v>
      </c>
      <c r="AH30" s="21" t="s">
        <v>70</v>
      </c>
      <c r="AI30" s="15">
        <f>SUMPRODUCT(AI31:AI33,C31:C33)</f>
        <v>7.2815533721400899E-2</v>
      </c>
      <c r="AJ30" s="15">
        <f t="shared" ref="AJ30:BL30" si="9">SUMPRODUCT(AJ31:AJ33,D31:D33)</f>
        <v>6.4431925190919212E-2</v>
      </c>
      <c r="AK30" s="15">
        <f t="shared" si="9"/>
        <v>8.6825502727334955E-2</v>
      </c>
      <c r="AL30" s="15">
        <f t="shared" si="9"/>
        <v>9.0368846578750495E-2</v>
      </c>
      <c r="AM30" s="15">
        <f t="shared" si="9"/>
        <v>0.10971536397334032</v>
      </c>
      <c r="AN30" s="15">
        <f t="shared" si="9"/>
        <v>8.2104125675427353E-2</v>
      </c>
      <c r="AO30" s="15">
        <f t="shared" si="9"/>
        <v>0.11466383901273164</v>
      </c>
      <c r="AP30" s="15">
        <f t="shared" si="9"/>
        <v>9.9247176322209169E-2</v>
      </c>
      <c r="AQ30" s="15">
        <f t="shared" si="9"/>
        <v>7.3128459618491265E-2</v>
      </c>
      <c r="AR30" s="15">
        <f t="shared" si="9"/>
        <v>0.10467115304179582</v>
      </c>
      <c r="AS30" s="15">
        <f t="shared" si="9"/>
        <v>7.7278405840140882E-2</v>
      </c>
      <c r="AT30" s="15">
        <f t="shared" si="9"/>
        <v>6.9423026188733833E-2</v>
      </c>
      <c r="AU30" s="15">
        <f t="shared" si="9"/>
        <v>9.4380462769583756E-2</v>
      </c>
      <c r="AV30" s="15">
        <f t="shared" si="9"/>
        <v>0.10250576964775046</v>
      </c>
      <c r="AW30" s="15">
        <f t="shared" si="9"/>
        <v>0.12758541613285879</v>
      </c>
      <c r="AX30" s="15">
        <f t="shared" si="9"/>
        <v>7.6070751527360758E-2</v>
      </c>
      <c r="AY30" s="15">
        <f t="shared" si="9"/>
        <v>8.8454482131626572E-2</v>
      </c>
      <c r="AZ30" s="15">
        <f t="shared" si="9"/>
        <v>0.11077300055529501</v>
      </c>
      <c r="BA30" s="15">
        <f t="shared" si="9"/>
        <v>8.1884801841861324E-2</v>
      </c>
      <c r="BB30" s="15">
        <f t="shared" si="9"/>
        <v>0.11936874217712977</v>
      </c>
      <c r="BC30" s="15">
        <f t="shared" si="9"/>
        <v>9.5683718024267214E-2</v>
      </c>
      <c r="BD30" s="15">
        <f t="shared" si="9"/>
        <v>9.3600528245073991E-2</v>
      </c>
      <c r="BE30" s="15">
        <f t="shared" si="9"/>
        <v>6.8283678594662681E-2</v>
      </c>
      <c r="BF30" s="15">
        <f t="shared" si="9"/>
        <v>7.9520177829711089E-2</v>
      </c>
      <c r="BG30" s="15">
        <f t="shared" si="9"/>
        <v>8.7316295460394877E-2</v>
      </c>
      <c r="BH30" s="15">
        <f t="shared" si="9"/>
        <v>9.0080926858315119E-2</v>
      </c>
      <c r="BI30" s="15">
        <f t="shared" si="9"/>
        <v>8.2313256874868165E-2</v>
      </c>
      <c r="BJ30" s="15">
        <f t="shared" si="9"/>
        <v>7.4211538927784398E-2</v>
      </c>
      <c r="BK30" s="15">
        <f t="shared" si="9"/>
        <v>8.0881555514860384E-2</v>
      </c>
      <c r="BL30" s="15">
        <f t="shared" si="9"/>
        <v>6.7918327018906516E-2</v>
      </c>
      <c r="BN30" s="21" t="s">
        <v>70</v>
      </c>
      <c r="BO30" s="13" t="s">
        <v>46</v>
      </c>
      <c r="BP30" s="13" t="s">
        <v>47</v>
      </c>
      <c r="BQ30" s="13" t="s">
        <v>52</v>
      </c>
      <c r="BR30" s="13" t="s">
        <v>52</v>
      </c>
      <c r="BS30" s="13" t="s">
        <v>50</v>
      </c>
      <c r="BT30" s="13" t="s">
        <v>49</v>
      </c>
      <c r="BU30" s="13" t="s">
        <v>52</v>
      </c>
      <c r="BV30" s="13" t="s">
        <v>47</v>
      </c>
      <c r="BW30" s="13" t="s">
        <v>49</v>
      </c>
      <c r="BX30" s="13" t="s">
        <v>46</v>
      </c>
      <c r="BY30" s="13" t="s">
        <v>52</v>
      </c>
      <c r="BZ30" s="13" t="s">
        <v>46</v>
      </c>
      <c r="CA30" s="13" t="s">
        <v>51</v>
      </c>
      <c r="CB30" s="13" t="s">
        <v>51</v>
      </c>
      <c r="CC30" s="13" t="s">
        <v>52</v>
      </c>
      <c r="CD30" s="13" t="s">
        <v>46</v>
      </c>
      <c r="CE30" s="13" t="s">
        <v>50</v>
      </c>
      <c r="CF30" s="13" t="s">
        <v>49</v>
      </c>
      <c r="CG30" s="13" t="s">
        <v>49</v>
      </c>
      <c r="CH30" s="13" t="s">
        <v>47</v>
      </c>
      <c r="CI30" s="13" t="s">
        <v>48</v>
      </c>
      <c r="CJ30" s="13" t="s">
        <v>48</v>
      </c>
      <c r="CK30" s="13" t="s">
        <v>52</v>
      </c>
      <c r="CL30" s="13" t="s">
        <v>46</v>
      </c>
      <c r="CM30" s="13" t="s">
        <v>52</v>
      </c>
      <c r="CN30" s="13" t="s">
        <v>52</v>
      </c>
      <c r="CO30" s="13" t="s">
        <v>46</v>
      </c>
      <c r="CP30" s="13" t="s">
        <v>47</v>
      </c>
      <c r="CQ30" s="13" t="s">
        <v>46</v>
      </c>
      <c r="CR30" s="13" t="s">
        <v>46</v>
      </c>
    </row>
    <row r="31" spans="2:96">
      <c r="B31" s="22" t="s">
        <v>71</v>
      </c>
      <c r="C31" s="20">
        <f>1-C32</f>
        <v>0.82979999999999998</v>
      </c>
      <c r="D31" s="20">
        <f t="shared" ref="D31:AF31" si="10">1-D32</f>
        <v>0.80679999999999996</v>
      </c>
      <c r="E31" s="20">
        <f t="shared" si="10"/>
        <v>0.81469999999999998</v>
      </c>
      <c r="F31" s="20">
        <f t="shared" si="10"/>
        <v>0.80430000000000001</v>
      </c>
      <c r="G31" s="20">
        <f t="shared" si="10"/>
        <v>0.80800000000000005</v>
      </c>
      <c r="H31" s="20">
        <f t="shared" si="10"/>
        <v>0.82930000000000004</v>
      </c>
      <c r="I31" s="20">
        <f t="shared" si="10"/>
        <v>0.81720000000000004</v>
      </c>
      <c r="J31" s="20">
        <f t="shared" si="10"/>
        <v>0.80859999999999999</v>
      </c>
      <c r="K31" s="20">
        <f t="shared" si="10"/>
        <v>0.80769999999999997</v>
      </c>
      <c r="L31" s="20">
        <f t="shared" si="10"/>
        <v>0.80889999999999995</v>
      </c>
      <c r="M31" s="20">
        <f t="shared" si="10"/>
        <v>0.80180000000000007</v>
      </c>
      <c r="N31" s="20">
        <f t="shared" si="10"/>
        <v>0.80279999999999996</v>
      </c>
      <c r="O31" s="20">
        <f t="shared" si="10"/>
        <v>0.80940000000000001</v>
      </c>
      <c r="P31" s="20">
        <f t="shared" si="10"/>
        <v>0.80259999999999998</v>
      </c>
      <c r="Q31" s="20">
        <f t="shared" si="10"/>
        <v>0.82389999999999997</v>
      </c>
      <c r="R31" s="20">
        <f t="shared" si="10"/>
        <v>0.80149999999999999</v>
      </c>
      <c r="S31" s="20">
        <f t="shared" si="10"/>
        <v>0.81879999999999997</v>
      </c>
      <c r="T31" s="20">
        <f t="shared" si="10"/>
        <v>0.83230000000000004</v>
      </c>
      <c r="U31" s="20">
        <f t="shared" si="10"/>
        <v>0.79980000000000007</v>
      </c>
      <c r="V31" s="20">
        <f t="shared" si="10"/>
        <v>0.80569999999999997</v>
      </c>
      <c r="W31" s="20">
        <f t="shared" si="10"/>
        <v>0.82969999999999999</v>
      </c>
      <c r="X31" s="20">
        <f t="shared" si="10"/>
        <v>0.82669999999999999</v>
      </c>
      <c r="Y31" s="20">
        <f t="shared" si="10"/>
        <v>0.80869999999999997</v>
      </c>
      <c r="Z31" s="20">
        <f t="shared" si="10"/>
        <v>0.80449999999999999</v>
      </c>
      <c r="AA31" s="20">
        <f t="shared" si="10"/>
        <v>0.81879999999999997</v>
      </c>
      <c r="AB31" s="20">
        <f t="shared" si="10"/>
        <v>0.80610000000000004</v>
      </c>
      <c r="AC31" s="20">
        <f t="shared" si="10"/>
        <v>0.81669999999999998</v>
      </c>
      <c r="AD31" s="20">
        <f t="shared" si="10"/>
        <v>0.83240000000000003</v>
      </c>
      <c r="AE31" s="20">
        <f t="shared" si="10"/>
        <v>0.81659999999999999</v>
      </c>
      <c r="AF31" s="20">
        <f t="shared" si="10"/>
        <v>0.80120000000000002</v>
      </c>
      <c r="AH31" s="22" t="s">
        <v>71</v>
      </c>
      <c r="AI31" s="15">
        <v>7.4653693721400904E-2</v>
      </c>
      <c r="AJ31" s="15">
        <v>6.6518485190919213E-2</v>
      </c>
      <c r="AK31" s="15">
        <v>8.8826742727334956E-2</v>
      </c>
      <c r="AL31" s="15">
        <v>9.2482406578750495E-2</v>
      </c>
      <c r="AM31" s="15">
        <v>0.11178896397334032</v>
      </c>
      <c r="AN31" s="15">
        <v>8.3947685675427347E-2</v>
      </c>
      <c r="AO31" s="15">
        <v>0.11663807901273164</v>
      </c>
      <c r="AP31" s="15">
        <v>0.10131429632220917</v>
      </c>
      <c r="AQ31" s="15">
        <v>7.5205299618491275E-2</v>
      </c>
      <c r="AR31" s="15">
        <v>0.10673503304179582</v>
      </c>
      <c r="AS31" s="15">
        <v>7.9418965840140882E-2</v>
      </c>
      <c r="AT31" s="15">
        <v>7.1552786188733841E-2</v>
      </c>
      <c r="AU31" s="15">
        <v>9.6438942769583758E-2</v>
      </c>
      <c r="AV31" s="15">
        <v>0.10463768964775047</v>
      </c>
      <c r="AW31" s="15">
        <v>0.12948729613285881</v>
      </c>
      <c r="AX31" s="15">
        <v>7.8214551527360759E-2</v>
      </c>
      <c r="AY31" s="15">
        <v>9.0411442131626579E-2</v>
      </c>
      <c r="AZ31" s="15">
        <v>0.11258416055529502</v>
      </c>
      <c r="BA31" s="15">
        <v>8.404696184186132E-2</v>
      </c>
      <c r="BB31" s="15">
        <v>0.12146718217712978</v>
      </c>
      <c r="BC31" s="15">
        <v>9.752295802426722E-2</v>
      </c>
      <c r="BD31" s="15">
        <v>9.5472168245073999E-2</v>
      </c>
      <c r="BE31" s="15">
        <v>7.0349718594662686E-2</v>
      </c>
      <c r="BF31" s="15">
        <v>8.1631577829711088E-2</v>
      </c>
      <c r="BG31" s="15">
        <v>8.9273255460394885E-2</v>
      </c>
      <c r="BH31" s="15">
        <v>9.2175046858315124E-2</v>
      </c>
      <c r="BI31" s="15">
        <v>8.429289687486817E-2</v>
      </c>
      <c r="BJ31" s="15">
        <v>7.602161892778439E-2</v>
      </c>
      <c r="BK31" s="15">
        <v>8.286227551486039E-2</v>
      </c>
      <c r="BL31" s="15">
        <v>7.0065367018906505E-2</v>
      </c>
      <c r="BN31" s="22" t="s">
        <v>71</v>
      </c>
      <c r="BO31" s="13" t="s">
        <v>47</v>
      </c>
      <c r="BP31" s="13" t="s">
        <v>50</v>
      </c>
      <c r="BQ31" s="13" t="s">
        <v>46</v>
      </c>
      <c r="BR31" s="13" t="s">
        <v>49</v>
      </c>
      <c r="BS31" s="13" t="s">
        <v>52</v>
      </c>
      <c r="BT31" s="13" t="s">
        <v>46</v>
      </c>
      <c r="BU31" s="13" t="s">
        <v>46</v>
      </c>
      <c r="BV31" s="13" t="s">
        <v>48</v>
      </c>
      <c r="BW31" s="13" t="s">
        <v>50</v>
      </c>
      <c r="BX31" s="13" t="s">
        <v>50</v>
      </c>
      <c r="BY31" s="13" t="s">
        <v>47</v>
      </c>
      <c r="BZ31" s="13" t="s">
        <v>46</v>
      </c>
      <c r="CA31" s="13" t="s">
        <v>48</v>
      </c>
      <c r="CB31" s="13" t="s">
        <v>52</v>
      </c>
      <c r="CC31" s="13" t="s">
        <v>47</v>
      </c>
      <c r="CD31" s="13" t="s">
        <v>52</v>
      </c>
      <c r="CE31" s="13" t="s">
        <v>48</v>
      </c>
      <c r="CF31" s="13" t="s">
        <v>47</v>
      </c>
      <c r="CG31" s="13" t="s">
        <v>52</v>
      </c>
      <c r="CH31" s="13" t="s">
        <v>51</v>
      </c>
      <c r="CI31" s="13" t="s">
        <v>51</v>
      </c>
      <c r="CJ31" s="13" t="s">
        <v>49</v>
      </c>
      <c r="CK31" s="13" t="s">
        <v>50</v>
      </c>
      <c r="CL31" s="13" t="s">
        <v>48</v>
      </c>
      <c r="CM31" s="13" t="s">
        <v>47</v>
      </c>
      <c r="CN31" s="13" t="s">
        <v>52</v>
      </c>
      <c r="CO31" s="13" t="s">
        <v>47</v>
      </c>
      <c r="CP31" s="13" t="s">
        <v>50</v>
      </c>
      <c r="CQ31" s="13" t="s">
        <v>50</v>
      </c>
      <c r="CR31" s="13" t="s">
        <v>52</v>
      </c>
    </row>
    <row r="32" spans="2:96">
      <c r="B32" s="22" t="s">
        <v>72</v>
      </c>
      <c r="C32" s="20">
        <v>0.17019999999999999</v>
      </c>
      <c r="D32" s="20">
        <v>0.19319999999999998</v>
      </c>
      <c r="E32" s="20">
        <v>0.18529999999999999</v>
      </c>
      <c r="F32" s="20">
        <v>0.19569999999999999</v>
      </c>
      <c r="G32" s="20">
        <v>0.192</v>
      </c>
      <c r="H32" s="20">
        <v>0.17069999999999999</v>
      </c>
      <c r="I32" s="20">
        <v>0.18279999999999999</v>
      </c>
      <c r="J32" s="20">
        <v>0.19139999999999999</v>
      </c>
      <c r="K32" s="20">
        <v>0.1923</v>
      </c>
      <c r="L32" s="20">
        <v>0.19109999999999999</v>
      </c>
      <c r="M32" s="20">
        <v>0.19819999999999999</v>
      </c>
      <c r="N32" s="20">
        <v>0.19719999999999999</v>
      </c>
      <c r="O32" s="20">
        <v>0.19059999999999999</v>
      </c>
      <c r="P32" s="20">
        <v>0.19739999999999999</v>
      </c>
      <c r="Q32" s="20">
        <v>0.17610000000000001</v>
      </c>
      <c r="R32" s="20">
        <v>0.19850000000000001</v>
      </c>
      <c r="S32" s="20">
        <v>0.1812</v>
      </c>
      <c r="T32" s="20">
        <v>0.16769999999999999</v>
      </c>
      <c r="U32" s="20">
        <v>0.20019999999999999</v>
      </c>
      <c r="V32" s="20">
        <v>0.1943</v>
      </c>
      <c r="W32" s="20">
        <v>0.17030000000000001</v>
      </c>
      <c r="X32" s="20">
        <v>0.17330000000000001</v>
      </c>
      <c r="Y32" s="20">
        <v>0.1913</v>
      </c>
      <c r="Z32" s="20">
        <v>0.19550000000000001</v>
      </c>
      <c r="AA32" s="20">
        <v>0.1812</v>
      </c>
      <c r="AB32" s="20">
        <v>0.19389999999999999</v>
      </c>
      <c r="AC32" s="20">
        <v>0.18329999999999999</v>
      </c>
      <c r="AD32" s="20">
        <v>0.1676</v>
      </c>
      <c r="AE32" s="20">
        <v>0.18340000000000001</v>
      </c>
      <c r="AF32" s="20">
        <v>0.1988</v>
      </c>
      <c r="AH32" s="22" t="s">
        <v>72</v>
      </c>
      <c r="AI32" s="15">
        <v>6.38536937214009E-2</v>
      </c>
      <c r="AJ32" s="15">
        <v>5.5718485190919209E-2</v>
      </c>
      <c r="AK32" s="15">
        <v>7.8026742727334952E-2</v>
      </c>
      <c r="AL32" s="15">
        <v>8.1682406578750491E-2</v>
      </c>
      <c r="AM32" s="15">
        <v>0.10098896397334031</v>
      </c>
      <c r="AN32" s="15">
        <v>7.3147685675427343E-2</v>
      </c>
      <c r="AO32" s="15">
        <v>0.10583807901273164</v>
      </c>
      <c r="AP32" s="15">
        <v>9.051429632220917E-2</v>
      </c>
      <c r="AQ32" s="15">
        <v>6.4405299618491271E-2</v>
      </c>
      <c r="AR32" s="15">
        <v>9.593503304179582E-2</v>
      </c>
      <c r="AS32" s="15">
        <v>6.8618965840140878E-2</v>
      </c>
      <c r="AT32" s="15">
        <v>6.0752786188733837E-2</v>
      </c>
      <c r="AU32" s="15">
        <v>8.5638942769583754E-2</v>
      </c>
      <c r="AV32" s="15">
        <v>9.3837689647750466E-2</v>
      </c>
      <c r="AW32" s="15">
        <v>0.1186872961328588</v>
      </c>
      <c r="AX32" s="15">
        <v>6.7414551527360755E-2</v>
      </c>
      <c r="AY32" s="15">
        <v>7.9611442131626575E-2</v>
      </c>
      <c r="AZ32" s="15">
        <v>0.10178416055529502</v>
      </c>
      <c r="BA32" s="15">
        <v>7.3246961841861316E-2</v>
      </c>
      <c r="BB32" s="15">
        <v>0.11066718217712977</v>
      </c>
      <c r="BC32" s="15">
        <v>8.6722958024267216E-2</v>
      </c>
      <c r="BD32" s="15">
        <v>8.4672168245073995E-2</v>
      </c>
      <c r="BE32" s="15">
        <v>5.9549718594662682E-2</v>
      </c>
      <c r="BF32" s="15">
        <v>7.0831577829711084E-2</v>
      </c>
      <c r="BG32" s="15">
        <v>7.8473255460394881E-2</v>
      </c>
      <c r="BH32" s="15">
        <v>8.137504685831512E-2</v>
      </c>
      <c r="BI32" s="15">
        <v>7.3492896874868166E-2</v>
      </c>
      <c r="BJ32" s="15">
        <v>6.5221618927784386E-2</v>
      </c>
      <c r="BK32" s="15">
        <v>7.2062275514860386E-2</v>
      </c>
      <c r="BL32" s="15">
        <v>5.9265367018906508E-2</v>
      </c>
      <c r="BN32" s="22" t="s">
        <v>72</v>
      </c>
      <c r="BO32" s="13" t="s">
        <v>47</v>
      </c>
      <c r="BP32" s="13" t="s">
        <v>50</v>
      </c>
      <c r="BQ32" s="13" t="s">
        <v>46</v>
      </c>
      <c r="BR32" s="13" t="s">
        <v>47</v>
      </c>
      <c r="BS32" s="13" t="s">
        <v>50</v>
      </c>
      <c r="BT32" s="13" t="s">
        <v>48</v>
      </c>
      <c r="BU32" s="13" t="s">
        <v>49</v>
      </c>
      <c r="BV32" s="13" t="s">
        <v>52</v>
      </c>
      <c r="BW32" s="13" t="s">
        <v>48</v>
      </c>
      <c r="BX32" s="13" t="s">
        <v>46</v>
      </c>
      <c r="BY32" s="13" t="s">
        <v>52</v>
      </c>
      <c r="BZ32" s="13" t="s">
        <v>50</v>
      </c>
      <c r="CA32" s="13" t="s">
        <v>48</v>
      </c>
      <c r="CB32" s="13" t="s">
        <v>51</v>
      </c>
      <c r="CC32" s="13" t="s">
        <v>51</v>
      </c>
      <c r="CD32" s="13" t="s">
        <v>52</v>
      </c>
      <c r="CE32" s="13" t="s">
        <v>47</v>
      </c>
      <c r="CF32" s="13" t="s">
        <v>49</v>
      </c>
      <c r="CG32" s="13" t="s">
        <v>48</v>
      </c>
      <c r="CH32" s="13" t="s">
        <v>51</v>
      </c>
      <c r="CI32" s="13" t="s">
        <v>52</v>
      </c>
      <c r="CJ32" s="13" t="s">
        <v>50</v>
      </c>
      <c r="CK32" s="13" t="s">
        <v>52</v>
      </c>
      <c r="CL32" s="13" t="s">
        <v>48</v>
      </c>
      <c r="CM32" s="13" t="s">
        <v>50</v>
      </c>
      <c r="CN32" s="13" t="s">
        <v>49</v>
      </c>
      <c r="CO32" s="13" t="s">
        <v>51</v>
      </c>
      <c r="CP32" s="13" t="s">
        <v>52</v>
      </c>
      <c r="CQ32" s="13" t="s">
        <v>49</v>
      </c>
      <c r="CR32" s="13" t="s">
        <v>46</v>
      </c>
    </row>
    <row r="36" spans="2:5">
      <c r="B36" s="23" t="s">
        <v>73</v>
      </c>
      <c r="C36" s="24">
        <v>0.39450000000000002</v>
      </c>
      <c r="D36" s="25">
        <v>4.1877710863908311E-2</v>
      </c>
      <c r="E36" s="26">
        <f>C36*$E$42</f>
        <v>174.32955000000001</v>
      </c>
    </row>
    <row r="37" spans="2:5">
      <c r="B37" s="23" t="s">
        <v>74</v>
      </c>
      <c r="C37" s="24">
        <v>0.27150000000000002</v>
      </c>
      <c r="D37" s="25">
        <v>6.25699974264185E-2</v>
      </c>
      <c r="E37" s="26">
        <f t="shared" ref="E37:E41" si="11">C37*$E$42</f>
        <v>119.97585000000001</v>
      </c>
    </row>
    <row r="38" spans="2:5">
      <c r="B38" s="23" t="s">
        <v>75</v>
      </c>
      <c r="C38" s="24">
        <v>0.17949999999999999</v>
      </c>
      <c r="D38" s="25">
        <v>7.0191815180516842E-2</v>
      </c>
      <c r="E38" s="26">
        <f t="shared" si="11"/>
        <v>79.32105</v>
      </c>
    </row>
    <row r="39" spans="2:5">
      <c r="B39" s="23" t="s">
        <v>76</v>
      </c>
      <c r="C39" s="24">
        <v>9.4500000000000001E-2</v>
      </c>
      <c r="D39" s="25">
        <v>5.239512697622515E-2</v>
      </c>
      <c r="E39" s="26">
        <f t="shared" si="11"/>
        <v>41.759549999999997</v>
      </c>
    </row>
    <row r="40" spans="2:5">
      <c r="B40" s="23" t="s">
        <v>77</v>
      </c>
      <c r="C40" s="24">
        <v>3.5499999999999997E-2</v>
      </c>
      <c r="D40" s="25">
        <v>5.6968815180516851E-2</v>
      </c>
      <c r="E40" s="26">
        <f t="shared" si="11"/>
        <v>15.687449999999998</v>
      </c>
    </row>
    <row r="41" spans="2:5">
      <c r="B41" s="23" t="s">
        <v>78</v>
      </c>
      <c r="C41" s="24">
        <v>2.4500000000000001E-2</v>
      </c>
      <c r="D41" s="25">
        <v>4.6224675597497607E-2</v>
      </c>
      <c r="E41" s="26">
        <f t="shared" si="11"/>
        <v>10.826549999999999</v>
      </c>
    </row>
    <row r="42" spans="2:5">
      <c r="B42" s="27" t="s">
        <v>79</v>
      </c>
      <c r="C42" s="28">
        <f>SUM(C36:C41)</f>
        <v>1</v>
      </c>
      <c r="D42" s="28">
        <f>SUMPRODUCT(D36:D41,C36:C41)</f>
        <v>5.4214179052287537E-2</v>
      </c>
      <c r="E42" s="29">
        <v>441.9</v>
      </c>
    </row>
    <row r="43" spans="2:5">
      <c r="D43" s="30"/>
      <c r="E43" s="19"/>
    </row>
    <row r="45" spans="2:5">
      <c r="B45" s="23" t="s">
        <v>73</v>
      </c>
      <c r="C45" s="24">
        <v>0.39450000000000002</v>
      </c>
      <c r="D45" s="25">
        <f>SUMPRODUCT(C46:C47,D46:D47)</f>
        <v>4.1877710863908311E-2</v>
      </c>
      <c r="E45" s="31">
        <f>VLOOKUP($B45,$B$36:$E$42,4,0)</f>
        <v>174.32955000000001</v>
      </c>
    </row>
    <row r="46" spans="2:5">
      <c r="B46" s="32" t="s">
        <v>0</v>
      </c>
      <c r="C46" s="33">
        <v>0.9385</v>
      </c>
      <c r="D46" s="33">
        <v>4.237942664072545E-2</v>
      </c>
      <c r="E46" s="34">
        <f>C46*$E$45</f>
        <v>163.608282675</v>
      </c>
    </row>
    <row r="47" spans="2:5">
      <c r="B47" s="32" t="s">
        <v>1</v>
      </c>
      <c r="C47" s="33">
        <v>6.1499999999999999E-2</v>
      </c>
      <c r="D47" s="33">
        <v>3.4221446529877714E-2</v>
      </c>
      <c r="E47" s="34">
        <f>C47*$E$45</f>
        <v>10.721267325000001</v>
      </c>
    </row>
    <row r="48" spans="2:5">
      <c r="B48" s="23" t="s">
        <v>74</v>
      </c>
      <c r="C48" s="24">
        <v>0.27150000000000002</v>
      </c>
      <c r="D48" s="25">
        <f>SUMPRODUCT(C49:C59,D49:D59)</f>
        <v>6.25699974264185E-2</v>
      </c>
      <c r="E48" s="31">
        <f>VLOOKUP($B48,$B$36:$E$42,4,0)</f>
        <v>119.97585000000001</v>
      </c>
    </row>
    <row r="49" spans="2:5">
      <c r="B49" s="32" t="s">
        <v>2</v>
      </c>
      <c r="C49" s="33">
        <v>0.14149999999999999</v>
      </c>
      <c r="D49" s="33">
        <v>5.632724580480513E-2</v>
      </c>
      <c r="E49" s="34">
        <f>C49*$E$48</f>
        <v>16.976582775000001</v>
      </c>
    </row>
    <row r="50" spans="2:5">
      <c r="B50" s="32" t="s">
        <v>3</v>
      </c>
      <c r="C50" s="33">
        <v>0.1535</v>
      </c>
      <c r="D50" s="33">
        <v>5.9990886233772786E-2</v>
      </c>
      <c r="E50" s="34">
        <f t="shared" ref="E50:E59" si="12">C50*$E$48</f>
        <v>18.416292975000001</v>
      </c>
    </row>
    <row r="51" spans="2:5">
      <c r="B51" s="32" t="s">
        <v>4</v>
      </c>
      <c r="C51" s="33">
        <v>2.1499999999999998E-2</v>
      </c>
      <c r="D51" s="33">
        <v>7.9266362412338476E-2</v>
      </c>
      <c r="E51" s="34">
        <f t="shared" si="12"/>
        <v>2.5794807749999999</v>
      </c>
    </row>
    <row r="52" spans="2:5">
      <c r="B52" s="32" t="s">
        <v>5</v>
      </c>
      <c r="C52" s="33">
        <v>8.5500000000000007E-2</v>
      </c>
      <c r="D52" s="33">
        <v>5.1350635094730368E-2</v>
      </c>
      <c r="E52" s="34">
        <f t="shared" si="12"/>
        <v>10.257935175000002</v>
      </c>
    </row>
    <row r="53" spans="2:5">
      <c r="B53" s="32" t="s">
        <v>6</v>
      </c>
      <c r="C53" s="33">
        <v>5.6500000000000002E-2</v>
      </c>
      <c r="D53" s="33">
        <v>8.4110662473424747E-2</v>
      </c>
      <c r="E53" s="34">
        <f t="shared" si="12"/>
        <v>6.7786355250000003</v>
      </c>
    </row>
    <row r="54" spans="2:5">
      <c r="B54" s="32" t="s">
        <v>7</v>
      </c>
      <c r="C54" s="33">
        <v>0.14349999999999999</v>
      </c>
      <c r="D54" s="33">
        <v>6.8815423647932666E-2</v>
      </c>
      <c r="E54" s="34">
        <f t="shared" si="12"/>
        <v>17.216534475</v>
      </c>
    </row>
    <row r="55" spans="2:5">
      <c r="B55" s="32" t="s">
        <v>8</v>
      </c>
      <c r="C55" s="33">
        <v>1.6500000000000001E-2</v>
      </c>
      <c r="D55" s="33">
        <v>4.3014735750999261E-2</v>
      </c>
      <c r="E55" s="34">
        <f t="shared" si="12"/>
        <v>1.9796015250000003</v>
      </c>
    </row>
    <row r="56" spans="2:5">
      <c r="B56" s="32" t="s">
        <v>9</v>
      </c>
      <c r="C56" s="33">
        <v>0.1085</v>
      </c>
      <c r="D56" s="33">
        <v>7.4127824661068001E-2</v>
      </c>
      <c r="E56" s="34">
        <f t="shared" si="12"/>
        <v>13.017379725000001</v>
      </c>
    </row>
    <row r="57" spans="2:5">
      <c r="B57" s="32" t="s">
        <v>10</v>
      </c>
      <c r="C57" s="33">
        <v>4.5499999999999999E-2</v>
      </c>
      <c r="D57" s="33">
        <v>4.693414577562826E-2</v>
      </c>
      <c r="E57" s="34">
        <f t="shared" si="12"/>
        <v>5.4589011750000003</v>
      </c>
    </row>
    <row r="58" spans="2:5">
      <c r="B58" s="32" t="s">
        <v>11</v>
      </c>
      <c r="C58" s="33">
        <v>3.0499999999999999E-2</v>
      </c>
      <c r="D58" s="33">
        <v>3.8729869761121291E-2</v>
      </c>
      <c r="E58" s="34">
        <f t="shared" si="12"/>
        <v>3.6592634250000002</v>
      </c>
    </row>
    <row r="59" spans="2:5">
      <c r="B59" s="32" t="s">
        <v>12</v>
      </c>
      <c r="C59" s="33">
        <v>0.19700000000000001</v>
      </c>
      <c r="D59" s="33">
        <v>6.3958083839290553E-2</v>
      </c>
      <c r="E59" s="34">
        <f t="shared" si="12"/>
        <v>23.635242450000003</v>
      </c>
    </row>
    <row r="60" spans="2:5">
      <c r="B60" s="23" t="s">
        <v>75</v>
      </c>
      <c r="C60" s="24">
        <v>0.17949999999999999</v>
      </c>
      <c r="D60" s="25">
        <f>SUMPRODUCT(C61:C68,D61:D68)</f>
        <v>7.0191815180516842E-2</v>
      </c>
      <c r="E60" s="31">
        <f>VLOOKUP($B60,$B$36:$E$42,4,0)</f>
        <v>79.32105</v>
      </c>
    </row>
    <row r="61" spans="2:5">
      <c r="B61" s="32" t="s">
        <v>13</v>
      </c>
      <c r="C61" s="33">
        <v>0.18149999999999999</v>
      </c>
      <c r="D61" s="33">
        <v>7.1954235656787158E-2</v>
      </c>
      <c r="E61" s="34">
        <f>C61*$E$60</f>
        <v>14.396770575</v>
      </c>
    </row>
    <row r="62" spans="2:5">
      <c r="B62" s="32" t="s">
        <v>14</v>
      </c>
      <c r="C62" s="33">
        <v>0.16350000000000001</v>
      </c>
      <c r="D62" s="33">
        <v>9.7042257971839213E-2</v>
      </c>
      <c r="E62" s="34">
        <f t="shared" ref="E62:E68" si="13">C62*$E$60</f>
        <v>12.968991675</v>
      </c>
    </row>
    <row r="63" spans="2:5">
      <c r="B63" s="32" t="s">
        <v>15</v>
      </c>
      <c r="C63" s="33">
        <v>0.13100000000000001</v>
      </c>
      <c r="D63" s="33">
        <v>4.5727338241008185E-2</v>
      </c>
      <c r="E63" s="34">
        <f t="shared" si="13"/>
        <v>10.391057550000001</v>
      </c>
    </row>
    <row r="64" spans="2:5">
      <c r="B64" s="32" t="s">
        <v>16</v>
      </c>
      <c r="C64" s="33">
        <v>7.1499999999999994E-2</v>
      </c>
      <c r="D64" s="33">
        <v>5.8266841186872108E-2</v>
      </c>
      <c r="E64" s="34">
        <f t="shared" si="13"/>
        <v>5.6714550749999999</v>
      </c>
    </row>
    <row r="65" spans="2:5">
      <c r="B65" s="32" t="s">
        <v>17</v>
      </c>
      <c r="C65" s="33">
        <v>0.16850000000000001</v>
      </c>
      <c r="D65" s="33">
        <v>7.9693833487711654E-2</v>
      </c>
      <c r="E65" s="34">
        <f t="shared" si="13"/>
        <v>13.365596925</v>
      </c>
    </row>
    <row r="66" spans="2:5">
      <c r="B66" s="32" t="s">
        <v>18</v>
      </c>
      <c r="C66" s="33">
        <v>0.1215</v>
      </c>
      <c r="D66" s="33">
        <v>5.180870860475173E-2</v>
      </c>
      <c r="E66" s="34">
        <f t="shared" si="13"/>
        <v>9.637507574999999</v>
      </c>
    </row>
    <row r="67" spans="2:5">
      <c r="B67" s="32" t="s">
        <v>19</v>
      </c>
      <c r="C67" s="33">
        <v>3.4000000000000002E-2</v>
      </c>
      <c r="D67" s="33">
        <v>8.9161521801911212E-2</v>
      </c>
      <c r="E67" s="34">
        <f t="shared" si="13"/>
        <v>2.6969157000000004</v>
      </c>
    </row>
    <row r="68" spans="2:5">
      <c r="B68" s="32" t="s">
        <v>20</v>
      </c>
      <c r="C68" s="33">
        <v>0.1285</v>
      </c>
      <c r="D68" s="33">
        <v>6.5017050556880174E-2</v>
      </c>
      <c r="E68" s="34">
        <f t="shared" si="13"/>
        <v>10.192754925000001</v>
      </c>
    </row>
    <row r="69" spans="2:5">
      <c r="B69" s="23" t="s">
        <v>76</v>
      </c>
      <c r="C69" s="24">
        <v>9.4500000000000001E-2</v>
      </c>
      <c r="D69" s="25">
        <f>SUMPRODUCT(C70:C73,D70:D73)</f>
        <v>5.239512697622515E-2</v>
      </c>
      <c r="E69" s="31">
        <f>VLOOKUP($B69,$B$36:$E$42,4,0)</f>
        <v>41.759549999999997</v>
      </c>
    </row>
    <row r="70" spans="2:5">
      <c r="B70" s="32" t="s">
        <v>21</v>
      </c>
      <c r="C70" s="33">
        <v>0.18149999999999999</v>
      </c>
      <c r="D70" s="33">
        <v>6.3027126976225145E-2</v>
      </c>
      <c r="E70" s="34">
        <f>C70*$E$69</f>
        <v>7.5793583249999994</v>
      </c>
    </row>
    <row r="71" spans="2:5">
      <c r="B71" s="32" t="s">
        <v>22</v>
      </c>
      <c r="C71" s="33">
        <v>7.0999999999999994E-2</v>
      </c>
      <c r="D71" s="33">
        <v>3.8027126976225151E-2</v>
      </c>
      <c r="E71" s="34">
        <f t="shared" ref="E71:E73" si="14">C71*$E$69</f>
        <v>2.9649280499999997</v>
      </c>
    </row>
    <row r="72" spans="2:5">
      <c r="B72" s="32" t="s">
        <v>23</v>
      </c>
      <c r="C72" s="33">
        <v>0.54649999999999999</v>
      </c>
      <c r="D72" s="33">
        <v>4.9027126976225147E-2</v>
      </c>
      <c r="E72" s="34">
        <f t="shared" si="14"/>
        <v>22.821594074999997</v>
      </c>
    </row>
    <row r="73" spans="2:5">
      <c r="B73" s="32" t="s">
        <v>24</v>
      </c>
      <c r="C73" s="33">
        <v>0.20100000000000001</v>
      </c>
      <c r="D73" s="33">
        <v>5.7027126976225147E-2</v>
      </c>
      <c r="E73" s="34">
        <f t="shared" si="14"/>
        <v>8.3936695500000003</v>
      </c>
    </row>
    <row r="74" spans="2:5">
      <c r="B74" s="23" t="s">
        <v>77</v>
      </c>
      <c r="C74" s="24">
        <v>3.5499999999999997E-2</v>
      </c>
      <c r="D74" s="25">
        <f>SUMPRODUCT(C75:C76,D75:D76)</f>
        <v>5.6968815180516851E-2</v>
      </c>
      <c r="E74" s="31">
        <f>VLOOKUP($B74,$B$36:$E$42,4,0)</f>
        <v>15.687449999999998</v>
      </c>
    </row>
    <row r="75" spans="2:5">
      <c r="B75" s="32" t="s">
        <v>25</v>
      </c>
      <c r="C75" s="33">
        <v>0.67849999999999999</v>
      </c>
      <c r="D75" s="33">
        <v>5.9519306805431604E-2</v>
      </c>
      <c r="E75" s="34">
        <f>C75*$E$74</f>
        <v>10.643934824999999</v>
      </c>
    </row>
    <row r="76" spans="2:5">
      <c r="B76" s="32" t="s">
        <v>26</v>
      </c>
      <c r="C76" s="33">
        <v>0.32150000000000001</v>
      </c>
      <c r="D76" s="33">
        <v>5.1586206883457247E-2</v>
      </c>
      <c r="E76" s="34">
        <f>C76*$E$74</f>
        <v>5.0435151749999996</v>
      </c>
    </row>
    <row r="77" spans="2:5">
      <c r="B77" s="23" t="s">
        <v>78</v>
      </c>
      <c r="C77" s="24">
        <v>2.4500000000000001E-2</v>
      </c>
      <c r="D77" s="25">
        <f>SUMPRODUCT(C78:C80,D78:D80)</f>
        <v>4.6224675597497614E-2</v>
      </c>
      <c r="E77" s="31">
        <f>VLOOKUP($B77,$B$36:$E$42,4,0)</f>
        <v>10.826549999999999</v>
      </c>
    </row>
    <row r="78" spans="2:5">
      <c r="B78" s="32" t="s">
        <v>27</v>
      </c>
      <c r="C78" s="33">
        <v>0.34849999999999998</v>
      </c>
      <c r="D78" s="33">
        <v>4.3627175597497611E-2</v>
      </c>
      <c r="E78" s="34">
        <f>C78*$E$77</f>
        <v>3.7730526749999993</v>
      </c>
    </row>
    <row r="79" spans="2:5">
      <c r="B79" s="32" t="s">
        <v>28</v>
      </c>
      <c r="C79" s="33">
        <v>0.50049999999999994</v>
      </c>
      <c r="D79" s="33">
        <v>5.0627175597497617E-2</v>
      </c>
      <c r="E79" s="34">
        <f t="shared" ref="E79:E80" si="15">C79*$E$77</f>
        <v>5.4186882749999992</v>
      </c>
    </row>
    <row r="80" spans="2:5">
      <c r="B80" s="32" t="s">
        <v>29</v>
      </c>
      <c r="C80" s="33">
        <v>0.151</v>
      </c>
      <c r="D80" s="33">
        <v>3.7627175597497613E-2</v>
      </c>
      <c r="E80" s="34">
        <f t="shared" si="15"/>
        <v>1.6348090499999999</v>
      </c>
    </row>
  </sheetData>
  <conditionalFormatting sqref="C8:AF8">
    <cfRule type="cellIs" dxfId="13" priority="13" operator="greaterThan">
      <formula>0.111</formula>
    </cfRule>
    <cfRule type="cellIs" dxfId="12" priority="14" operator="lessThan">
      <formula>0.09</formula>
    </cfRule>
  </conditionalFormatting>
  <conditionalFormatting sqref="C9:AF9">
    <cfRule type="cellIs" dxfId="11" priority="11" operator="greaterThan">
      <formula>0.087</formula>
    </cfRule>
    <cfRule type="cellIs" dxfId="10" priority="12" operator="lessThan">
      <formula>0.07</formula>
    </cfRule>
  </conditionalFormatting>
  <conditionalFormatting sqref="C13:AF13">
    <cfRule type="cellIs" dxfId="9" priority="9" operator="greaterThan">
      <formula>0.09</formula>
    </cfRule>
    <cfRule type="cellIs" dxfId="8" priority="10" operator="lessThan">
      <formula>0.075</formula>
    </cfRule>
  </conditionalFormatting>
  <conditionalFormatting sqref="C20:AF20">
    <cfRule type="cellIs" dxfId="7" priority="7" operator="greaterThan">
      <formula>0.07</formula>
    </cfRule>
    <cfRule type="cellIs" dxfId="6" priority="8" operator="lessThan">
      <formula>0.056</formula>
    </cfRule>
  </conditionalFormatting>
  <conditionalFormatting sqref="C21:AF21">
    <cfRule type="cellIs" dxfId="5" priority="5" operator="greaterThan">
      <formula>0.029</formula>
    </cfRule>
    <cfRule type="cellIs" dxfId="4" priority="6" operator="lessThan">
      <formula>0.018</formula>
    </cfRule>
  </conditionalFormatting>
  <conditionalFormatting sqref="AI5:BL9">
    <cfRule type="cellIs" dxfId="3" priority="4" operator="lessThan">
      <formula>0.02</formula>
    </cfRule>
  </conditionalFormatting>
  <conditionalFormatting sqref="AI12:BL15">
    <cfRule type="cellIs" dxfId="2" priority="3" operator="lessThan">
      <formula>0.02</formula>
    </cfRule>
  </conditionalFormatting>
  <conditionalFormatting sqref="AI18:BL21">
    <cfRule type="cellIs" dxfId="1" priority="2" operator="lessThan">
      <formula>0.02</formula>
    </cfRule>
  </conditionalFormatting>
  <conditionalFormatting sqref="AI24:BL24 AI27:BL29 AI31:BL32">
    <cfRule type="cellIs" dxfId="0" priority="1" operator="lessThan">
      <formula>0.02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28D0-DF35-4B6C-A716-9012AE3E4511}">
  <sheetPr codeName="Sheet3"/>
  <dimension ref="A1:BL141"/>
  <sheetViews>
    <sheetView workbookViewId="0">
      <selection activeCell="C4" sqref="C4"/>
    </sheetView>
  </sheetViews>
  <sheetFormatPr defaultRowHeight="14.5"/>
  <cols>
    <col min="1" max="1" width="12" style="1" customWidth="1"/>
    <col min="2" max="2" width="26" style="1" customWidth="1"/>
    <col min="3" max="26" width="14" style="1" customWidth="1"/>
    <col min="27" max="27" width="14.6640625" style="1" bestFit="1" customWidth="1"/>
    <col min="28" max="32" width="14" style="1" customWidth="1"/>
    <col min="33" max="16384" width="8.6640625" style="1"/>
  </cols>
  <sheetData>
    <row r="1" spans="1:64">
      <c r="B1" s="2">
        <f>[1]Global!H52</f>
        <v>24.170980102859694</v>
      </c>
    </row>
    <row r="3" spans="1:64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28</v>
      </c>
      <c r="AF3" s="3" t="s">
        <v>29</v>
      </c>
      <c r="AI3" s="3" t="s">
        <v>0</v>
      </c>
      <c r="AJ3" s="3" t="s">
        <v>1</v>
      </c>
      <c r="AK3" s="3" t="s">
        <v>2</v>
      </c>
      <c r="AL3" s="3" t="s">
        <v>3</v>
      </c>
      <c r="AM3" s="3" t="s">
        <v>4</v>
      </c>
      <c r="AN3" s="3" t="s">
        <v>5</v>
      </c>
      <c r="AO3" s="3" t="s">
        <v>6</v>
      </c>
      <c r="AP3" s="3" t="s">
        <v>7</v>
      </c>
      <c r="AQ3" s="3" t="s">
        <v>8</v>
      </c>
      <c r="AR3" s="3" t="s">
        <v>9</v>
      </c>
      <c r="AS3" s="3" t="s">
        <v>10</v>
      </c>
      <c r="AT3" s="3" t="s">
        <v>11</v>
      </c>
      <c r="AU3" s="3" t="s">
        <v>12</v>
      </c>
      <c r="AV3" s="3" t="s">
        <v>13</v>
      </c>
      <c r="AW3" s="3" t="s">
        <v>14</v>
      </c>
      <c r="AX3" s="3" t="s">
        <v>15</v>
      </c>
      <c r="AY3" s="3" t="s">
        <v>16</v>
      </c>
      <c r="AZ3" s="3" t="s">
        <v>17</v>
      </c>
      <c r="BA3" s="3" t="s">
        <v>18</v>
      </c>
      <c r="BB3" s="3" t="s">
        <v>19</v>
      </c>
      <c r="BC3" s="3" t="s">
        <v>20</v>
      </c>
      <c r="BD3" s="3" t="s">
        <v>21</v>
      </c>
      <c r="BE3" s="3" t="s">
        <v>22</v>
      </c>
      <c r="BF3" s="3" t="s">
        <v>23</v>
      </c>
      <c r="BG3" s="3" t="s">
        <v>24</v>
      </c>
      <c r="BH3" s="3" t="s">
        <v>25</v>
      </c>
      <c r="BI3" s="3" t="s">
        <v>26</v>
      </c>
      <c r="BJ3" s="3" t="s">
        <v>27</v>
      </c>
      <c r="BK3" s="3" t="s">
        <v>28</v>
      </c>
      <c r="BL3" s="3" t="s">
        <v>29</v>
      </c>
    </row>
    <row r="4" spans="1:64" ht="15" customHeight="1">
      <c r="A4" s="4"/>
      <c r="B4" s="5" t="s">
        <v>30</v>
      </c>
      <c r="AG4" s="6"/>
      <c r="AH4" s="7" t="s">
        <v>30</v>
      </c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64" ht="15" customHeight="1">
      <c r="A5" s="8"/>
      <c r="B5" s="9" t="s">
        <v>31</v>
      </c>
      <c r="C5" s="10">
        <v>36.639908341322545</v>
      </c>
      <c r="D5" s="10">
        <v>37.519266141514287</v>
      </c>
      <c r="E5" s="10">
        <v>39.754300550334968</v>
      </c>
      <c r="F5" s="10">
        <v>40.59701844218538</v>
      </c>
      <c r="G5" s="10">
        <v>34.2949542074779</v>
      </c>
      <c r="H5" s="10">
        <v>38.728383116777934</v>
      </c>
      <c r="I5" s="10">
        <v>35.467431274400226</v>
      </c>
      <c r="J5" s="10">
        <v>40.267259267113481</v>
      </c>
      <c r="K5" s="10">
        <v>38.911582658484555</v>
      </c>
      <c r="L5" s="10">
        <v>37.922305133268836</v>
      </c>
      <c r="M5" s="10">
        <v>39.241341833556447</v>
      </c>
      <c r="N5" s="10">
        <v>32.389678973729133</v>
      </c>
      <c r="O5" s="10">
        <v>37.226146874783716</v>
      </c>
      <c r="P5" s="10">
        <v>30.301204198273748</v>
      </c>
      <c r="Q5" s="10">
        <v>27.04025235589604</v>
      </c>
      <c r="R5" s="10">
        <v>41.989334959155634</v>
      </c>
      <c r="S5" s="10">
        <v>37.299426691466358</v>
      </c>
      <c r="T5" s="10">
        <v>27.992889972770424</v>
      </c>
      <c r="U5" s="10">
        <v>40.780217983891994</v>
      </c>
      <c r="V5" s="10">
        <v>28.798967956279519</v>
      </c>
      <c r="W5" s="10">
        <v>29.641685848129949</v>
      </c>
      <c r="X5" s="10">
        <v>33.525516132310138</v>
      </c>
      <c r="Y5" s="10">
        <v>32.133199615339876</v>
      </c>
      <c r="Z5" s="10">
        <v>30.85080282339359</v>
      </c>
      <c r="AA5" s="10">
        <v>30.630963373345651</v>
      </c>
      <c r="AB5" s="10">
        <v>43.051892301053996</v>
      </c>
      <c r="AC5" s="10">
        <v>37.665825774879579</v>
      </c>
      <c r="AD5" s="10">
        <v>28.72568813959688</v>
      </c>
      <c r="AE5" s="10">
        <v>33.92855512406468</v>
      </c>
      <c r="AF5" s="10">
        <v>30.081364748225813</v>
      </c>
      <c r="AG5" s="6"/>
      <c r="AH5" s="11" t="s">
        <v>31</v>
      </c>
      <c r="AI5" s="6" t="s">
        <v>32</v>
      </c>
      <c r="AJ5" s="6" t="s">
        <v>33</v>
      </c>
      <c r="AK5" s="6" t="s">
        <v>34</v>
      </c>
      <c r="AL5" s="6" t="s">
        <v>35</v>
      </c>
      <c r="AM5" s="6" t="s">
        <v>36</v>
      </c>
      <c r="AN5" s="6" t="s">
        <v>36</v>
      </c>
      <c r="AO5" s="6" t="s">
        <v>37</v>
      </c>
      <c r="AP5" s="6" t="s">
        <v>34</v>
      </c>
      <c r="AQ5" s="6" t="s">
        <v>38</v>
      </c>
      <c r="AR5" s="6" t="s">
        <v>33</v>
      </c>
      <c r="AS5" s="6" t="s">
        <v>39</v>
      </c>
      <c r="AT5" s="6" t="s">
        <v>38</v>
      </c>
      <c r="AU5" s="6" t="s">
        <v>34</v>
      </c>
      <c r="AV5" s="6" t="s">
        <v>37</v>
      </c>
      <c r="AW5" s="6" t="s">
        <v>37</v>
      </c>
      <c r="AX5" s="6" t="s">
        <v>32</v>
      </c>
      <c r="AY5" s="6" t="s">
        <v>33</v>
      </c>
      <c r="AZ5" s="6" t="s">
        <v>33</v>
      </c>
      <c r="BA5" s="6" t="s">
        <v>40</v>
      </c>
      <c r="BB5" s="6" t="s">
        <v>38</v>
      </c>
      <c r="BC5" s="6" t="s">
        <v>37</v>
      </c>
      <c r="BD5" s="6" t="s">
        <v>34</v>
      </c>
      <c r="BE5" s="6" t="s">
        <v>32</v>
      </c>
      <c r="BF5" s="6" t="s">
        <v>32</v>
      </c>
      <c r="BG5" s="6" t="s">
        <v>35</v>
      </c>
      <c r="BH5" s="6" t="s">
        <v>39</v>
      </c>
      <c r="BI5" s="6" t="s">
        <v>38</v>
      </c>
      <c r="BJ5" s="6" t="s">
        <v>39</v>
      </c>
      <c r="BK5" s="6" t="s">
        <v>36</v>
      </c>
      <c r="BL5" s="6" t="s">
        <v>35</v>
      </c>
    </row>
    <row r="6" spans="1:64" ht="15" customHeight="1">
      <c r="A6" s="8"/>
      <c r="B6" s="9" t="s">
        <v>41</v>
      </c>
      <c r="C6" s="10">
        <v>29.099862894876747</v>
      </c>
      <c r="D6" s="10">
        <v>29.565460701194777</v>
      </c>
      <c r="E6" s="10">
        <v>30.642155628305211</v>
      </c>
      <c r="F6" s="10">
        <v>31.282352611992504</v>
      </c>
      <c r="G6" s="10">
        <v>26.742774000391734</v>
      </c>
      <c r="H6" s="10">
        <v>29.798259604353795</v>
      </c>
      <c r="I6" s="10">
        <v>27.703069475922668</v>
      </c>
      <c r="J6" s="10">
        <v>31.020453845938608</v>
      </c>
      <c r="K6" s="10">
        <v>30.20565768488207</v>
      </c>
      <c r="L6" s="10">
        <v>29.652760289879414</v>
      </c>
      <c r="M6" s="10">
        <v>30.380256862251326</v>
      </c>
      <c r="N6" s="10">
        <v>25.375080444332525</v>
      </c>
      <c r="O6" s="10">
        <v>29.041663169086998</v>
      </c>
      <c r="P6" s="10">
        <v>23.134391001427016</v>
      </c>
      <c r="Q6" s="10">
        <v>20.835501832731751</v>
      </c>
      <c r="R6" s="10">
        <v>31.951649458574668</v>
      </c>
      <c r="S6" s="10">
        <v>28.576065362768965</v>
      </c>
      <c r="T6" s="10">
        <v>21.330199501944655</v>
      </c>
      <c r="U6" s="10">
        <v>31.049553708833489</v>
      </c>
      <c r="V6" s="10">
        <v>22.057696074316578</v>
      </c>
      <c r="W6" s="10">
        <v>22.872492235373123</v>
      </c>
      <c r="X6" s="10">
        <v>25.753378661965925</v>
      </c>
      <c r="Y6" s="10">
        <v>24.705783597750361</v>
      </c>
      <c r="Z6" s="10">
        <v>23.687288396429672</v>
      </c>
      <c r="AA6" s="10">
        <v>23.338090041691153</v>
      </c>
      <c r="AB6" s="10">
        <v>32.708245893841465</v>
      </c>
      <c r="AC6" s="10">
        <v>29.012563306192121</v>
      </c>
      <c r="AD6" s="10">
        <v>21.999496348526822</v>
      </c>
      <c r="AE6" s="10">
        <v>25.811578387755677</v>
      </c>
      <c r="AF6" s="10">
        <v>23.16349086432189</v>
      </c>
      <c r="AG6" s="6"/>
      <c r="AH6" s="11" t="s">
        <v>41</v>
      </c>
      <c r="AI6" s="6" t="s">
        <v>34</v>
      </c>
      <c r="AJ6" s="6" t="s">
        <v>35</v>
      </c>
      <c r="AK6" s="6" t="s">
        <v>34</v>
      </c>
      <c r="AL6" s="6" t="s">
        <v>38</v>
      </c>
      <c r="AM6" s="6" t="s">
        <v>32</v>
      </c>
      <c r="AN6" s="6" t="s">
        <v>32</v>
      </c>
      <c r="AO6" s="6" t="s">
        <v>37</v>
      </c>
      <c r="AP6" s="6" t="s">
        <v>35</v>
      </c>
      <c r="AQ6" s="6" t="s">
        <v>32</v>
      </c>
      <c r="AR6" s="6" t="s">
        <v>36</v>
      </c>
      <c r="AS6" s="6" t="s">
        <v>34</v>
      </c>
      <c r="AT6" s="6" t="s">
        <v>33</v>
      </c>
      <c r="AU6" s="6" t="s">
        <v>35</v>
      </c>
      <c r="AV6" s="6" t="s">
        <v>37</v>
      </c>
      <c r="AW6" s="6" t="s">
        <v>33</v>
      </c>
      <c r="AX6" s="6" t="s">
        <v>38</v>
      </c>
      <c r="AY6" s="6" t="s">
        <v>38</v>
      </c>
      <c r="AZ6" s="6" t="s">
        <v>38</v>
      </c>
      <c r="BA6" s="6" t="s">
        <v>38</v>
      </c>
      <c r="BB6" s="6" t="s">
        <v>32</v>
      </c>
      <c r="BC6" s="6" t="s">
        <v>37</v>
      </c>
      <c r="BD6" s="6" t="s">
        <v>35</v>
      </c>
      <c r="BE6" s="6" t="s">
        <v>34</v>
      </c>
      <c r="BF6" s="6" t="s">
        <v>40</v>
      </c>
      <c r="BG6" s="6" t="s">
        <v>35</v>
      </c>
      <c r="BH6" s="6" t="s">
        <v>39</v>
      </c>
      <c r="BI6" s="6" t="s">
        <v>34</v>
      </c>
      <c r="BJ6" s="6" t="s">
        <v>40</v>
      </c>
      <c r="BK6" s="6" t="s">
        <v>36</v>
      </c>
      <c r="BL6" s="6" t="s">
        <v>39</v>
      </c>
    </row>
    <row r="7" spans="1:64" ht="15" customHeight="1">
      <c r="A7" s="8"/>
      <c r="B7" s="9" t="s">
        <v>42</v>
      </c>
      <c r="C7" s="10">
        <v>19.203553246416643</v>
      </c>
      <c r="D7" s="10">
        <v>19.357181672387977</v>
      </c>
      <c r="E7" s="10">
        <v>19.702845630823475</v>
      </c>
      <c r="F7" s="10">
        <v>20.029306036012553</v>
      </c>
      <c r="G7" s="10">
        <v>17.244790815282144</v>
      </c>
      <c r="H7" s="10">
        <v>19.107535480184559</v>
      </c>
      <c r="I7" s="10">
        <v>17.974525838645977</v>
      </c>
      <c r="J7" s="10">
        <v>19.91408471653406</v>
      </c>
      <c r="K7" s="10">
        <v>19.453199438620057</v>
      </c>
      <c r="L7" s="10">
        <v>19.049924820445305</v>
      </c>
      <c r="M7" s="10">
        <v>19.741252737316309</v>
      </c>
      <c r="N7" s="10">
        <v>16.227002493222059</v>
      </c>
      <c r="O7" s="10">
        <v>18.742667968502641</v>
      </c>
      <c r="P7" s="10">
        <v>14.479479147798148</v>
      </c>
      <c r="Q7" s="10">
        <v>13.154433973795403</v>
      </c>
      <c r="R7" s="10">
        <v>19.894881163287643</v>
      </c>
      <c r="S7" s="10">
        <v>18.185764924356558</v>
      </c>
      <c r="T7" s="10">
        <v>13.538505038723732</v>
      </c>
      <c r="U7" s="10">
        <v>19.433995885373637</v>
      </c>
      <c r="V7" s="10">
        <v>13.922576103652066</v>
      </c>
      <c r="W7" s="10">
        <v>14.421868488058895</v>
      </c>
      <c r="X7" s="10">
        <v>16.361427365946977</v>
      </c>
      <c r="Y7" s="10">
        <v>15.766117215308061</v>
      </c>
      <c r="Z7" s="10">
        <v>15.074789298437063</v>
      </c>
      <c r="AA7" s="10">
        <v>14.863550212726482</v>
      </c>
      <c r="AB7" s="10">
        <v>20.528598420419389</v>
      </c>
      <c r="AC7" s="10">
        <v>18.397004010067139</v>
      </c>
      <c r="AD7" s="10">
        <v>13.845761890666397</v>
      </c>
      <c r="AE7" s="10">
        <v>16.39983447243981</v>
      </c>
      <c r="AF7" s="10">
        <v>14.652311127015899</v>
      </c>
      <c r="AG7" s="6"/>
      <c r="AH7" s="11" t="s">
        <v>42</v>
      </c>
      <c r="AI7" s="6" t="s">
        <v>35</v>
      </c>
      <c r="AJ7" s="6" t="s">
        <v>36</v>
      </c>
      <c r="AK7" s="6" t="s">
        <v>38</v>
      </c>
      <c r="AL7" s="6" t="s">
        <v>39</v>
      </c>
      <c r="AM7" s="6" t="s">
        <v>32</v>
      </c>
      <c r="AN7" s="6" t="s">
        <v>32</v>
      </c>
      <c r="AO7" s="6" t="s">
        <v>34</v>
      </c>
      <c r="AP7" s="6" t="s">
        <v>33</v>
      </c>
      <c r="AQ7" s="6" t="s">
        <v>39</v>
      </c>
      <c r="AR7" s="6" t="s">
        <v>36</v>
      </c>
      <c r="AS7" s="6" t="s">
        <v>32</v>
      </c>
      <c r="AT7" s="6" t="s">
        <v>35</v>
      </c>
      <c r="AU7" s="6" t="s">
        <v>37</v>
      </c>
      <c r="AV7" s="6" t="s">
        <v>40</v>
      </c>
      <c r="AW7" s="6" t="s">
        <v>36</v>
      </c>
      <c r="AX7" s="6" t="s">
        <v>38</v>
      </c>
      <c r="AY7" s="6" t="s">
        <v>32</v>
      </c>
      <c r="AZ7" s="6" t="s">
        <v>36</v>
      </c>
      <c r="BA7" s="6" t="s">
        <v>35</v>
      </c>
      <c r="BB7" s="6" t="s">
        <v>32</v>
      </c>
      <c r="BC7" s="6" t="s">
        <v>36</v>
      </c>
      <c r="BD7" s="6" t="s">
        <v>39</v>
      </c>
      <c r="BE7" s="6" t="s">
        <v>38</v>
      </c>
      <c r="BF7" s="6" t="s">
        <v>32</v>
      </c>
      <c r="BG7" s="6" t="s">
        <v>38</v>
      </c>
      <c r="BH7" s="6" t="s">
        <v>39</v>
      </c>
      <c r="BI7" s="6" t="s">
        <v>34</v>
      </c>
      <c r="BJ7" s="6" t="s">
        <v>32</v>
      </c>
      <c r="BK7" s="6" t="s">
        <v>35</v>
      </c>
      <c r="BL7" s="6" t="s">
        <v>38</v>
      </c>
    </row>
    <row r="8" spans="1:64" ht="15" customHeight="1">
      <c r="A8" s="8"/>
      <c r="B8" s="9" t="s">
        <v>43</v>
      </c>
      <c r="C8" s="10">
        <v>17.554168305006627</v>
      </c>
      <c r="D8" s="10">
        <v>17.606830809921643</v>
      </c>
      <c r="E8" s="10">
        <v>17.852589166191734</v>
      </c>
      <c r="F8" s="10">
        <v>18.221226700596876</v>
      </c>
      <c r="G8" s="10">
        <v>15.552993118235866</v>
      </c>
      <c r="H8" s="10">
        <v>17.220639107211497</v>
      </c>
      <c r="I8" s="10">
        <v>16.290268187046145</v>
      </c>
      <c r="J8" s="10">
        <v>17.993022512631789</v>
      </c>
      <c r="K8" s="10">
        <v>17.589276641616635</v>
      </c>
      <c r="L8" s="10">
        <v>17.27330161212652</v>
      </c>
      <c r="M8" s="10">
        <v>17.835034997886726</v>
      </c>
      <c r="N8" s="10">
        <v>14.727947207900558</v>
      </c>
      <c r="O8" s="10">
        <v>16.922218246026386</v>
      </c>
      <c r="P8" s="10">
        <v>12.954976209094887</v>
      </c>
      <c r="Q8" s="10">
        <v>11.708630259439417</v>
      </c>
      <c r="R8" s="10">
        <v>17.764818324666702</v>
      </c>
      <c r="S8" s="10">
        <v>16.290268187046145</v>
      </c>
      <c r="T8" s="10">
        <v>12.094821962149567</v>
      </c>
      <c r="U8" s="10">
        <v>17.466397463481588</v>
      </c>
      <c r="V8" s="10">
        <v>12.445905328249699</v>
      </c>
      <c r="W8" s="10">
        <v>12.902313704179866</v>
      </c>
      <c r="X8" s="10">
        <v>14.640176366375526</v>
      </c>
      <c r="Y8" s="10">
        <v>14.148659653835336</v>
      </c>
      <c r="Z8" s="10">
        <v>13.481601258245087</v>
      </c>
      <c r="AA8" s="10">
        <v>13.270951238585003</v>
      </c>
      <c r="AB8" s="10">
        <v>18.396768383646943</v>
      </c>
      <c r="AC8" s="10">
        <v>16.48336403840122</v>
      </c>
      <c r="AD8" s="10">
        <v>12.37568865502967</v>
      </c>
      <c r="AE8" s="10">
        <v>14.587513861460502</v>
      </c>
      <c r="AF8" s="10">
        <v>13.130517892144955</v>
      </c>
      <c r="AG8" s="6"/>
      <c r="AH8" s="11" t="s">
        <v>43</v>
      </c>
      <c r="AI8" s="6" t="s">
        <v>37</v>
      </c>
      <c r="AJ8" s="6" t="s">
        <v>40</v>
      </c>
      <c r="AK8" s="6" t="s">
        <v>38</v>
      </c>
      <c r="AL8" s="6" t="s">
        <v>36</v>
      </c>
      <c r="AM8" s="6" t="s">
        <v>37</v>
      </c>
      <c r="AN8" s="6" t="s">
        <v>38</v>
      </c>
      <c r="AO8" s="6" t="s">
        <v>34</v>
      </c>
      <c r="AP8" s="6" t="s">
        <v>36</v>
      </c>
      <c r="AQ8" s="6" t="s">
        <v>33</v>
      </c>
      <c r="AR8" s="6" t="s">
        <v>34</v>
      </c>
      <c r="AS8" s="6" t="s">
        <v>32</v>
      </c>
      <c r="AT8" s="6" t="s">
        <v>35</v>
      </c>
      <c r="AU8" s="6" t="s">
        <v>35</v>
      </c>
      <c r="AV8" s="6" t="s">
        <v>39</v>
      </c>
      <c r="AW8" s="6" t="s">
        <v>40</v>
      </c>
      <c r="AX8" s="6" t="s">
        <v>40</v>
      </c>
      <c r="AY8" s="6" t="s">
        <v>38</v>
      </c>
      <c r="AZ8" s="6" t="s">
        <v>37</v>
      </c>
      <c r="BA8" s="6" t="s">
        <v>37</v>
      </c>
      <c r="BB8" s="6" t="s">
        <v>36</v>
      </c>
      <c r="BC8" s="6" t="s">
        <v>38</v>
      </c>
      <c r="BD8" s="6" t="s">
        <v>37</v>
      </c>
      <c r="BE8" s="6" t="s">
        <v>33</v>
      </c>
      <c r="BF8" s="6" t="s">
        <v>38</v>
      </c>
      <c r="BG8" s="6" t="s">
        <v>36</v>
      </c>
      <c r="BH8" s="6" t="s">
        <v>32</v>
      </c>
      <c r="BI8" s="6" t="s">
        <v>34</v>
      </c>
      <c r="BJ8" s="6" t="s">
        <v>40</v>
      </c>
      <c r="BK8" s="6" t="s">
        <v>35</v>
      </c>
      <c r="BL8" s="6" t="s">
        <v>35</v>
      </c>
    </row>
    <row r="9" spans="1:64" ht="15" customHeight="1">
      <c r="A9" s="8"/>
      <c r="B9" s="9" t="s">
        <v>44</v>
      </c>
      <c r="C9" s="10">
        <v>40.998997115049015</v>
      </c>
      <c r="D9" s="10">
        <v>42.269966025615531</v>
      </c>
      <c r="E9" s="10">
        <v>45.590884791934521</v>
      </c>
      <c r="F9" s="10">
        <v>46.574860722695689</v>
      </c>
      <c r="G9" s="10">
        <v>39.113043247756757</v>
      </c>
      <c r="H9" s="10">
        <v>43.991923904447596</v>
      </c>
      <c r="I9" s="10">
        <v>40.384012158323287</v>
      </c>
      <c r="J9" s="10">
        <v>46.123871754430148</v>
      </c>
      <c r="K9" s="10">
        <v>44.565909864058284</v>
      </c>
      <c r="L9" s="10">
        <v>43.376938947721868</v>
      </c>
      <c r="M9" s="10">
        <v>45.221893817899073</v>
      </c>
      <c r="N9" s="10">
        <v>37.145091386234412</v>
      </c>
      <c r="O9" s="10">
        <v>42.720954993881087</v>
      </c>
      <c r="P9" s="10">
        <v>35.464132504517394</v>
      </c>
      <c r="Q9" s="10">
        <v>31.815221761278039</v>
      </c>
      <c r="R9" s="10">
        <v>48.747807569793288</v>
      </c>
      <c r="S9" s="10">
        <v>43.253941956376707</v>
      </c>
      <c r="T9" s="10">
        <v>32.717199697809122</v>
      </c>
      <c r="U9" s="10">
        <v>47.189845679421431</v>
      </c>
      <c r="V9" s="10">
        <v>33.49618064299505</v>
      </c>
      <c r="W9" s="10">
        <v>34.60315356510138</v>
      </c>
      <c r="X9" s="10">
        <v>38.785051270836362</v>
      </c>
      <c r="Y9" s="10">
        <v>37.227089380464506</v>
      </c>
      <c r="Z9" s="10">
        <v>35.382134510287308</v>
      </c>
      <c r="AA9" s="10">
        <v>35.300136516057208</v>
      </c>
      <c r="AB9" s="10">
        <v>49.895779489014657</v>
      </c>
      <c r="AC9" s="10">
        <v>43.622932930412155</v>
      </c>
      <c r="AD9" s="10">
        <v>33.332184654534849</v>
      </c>
      <c r="AE9" s="10">
        <v>39.154042244871818</v>
      </c>
      <c r="AF9" s="10">
        <v>34.931145542021767</v>
      </c>
      <c r="AG9" s="6"/>
      <c r="AH9" s="11" t="s">
        <v>44</v>
      </c>
      <c r="AI9" s="6" t="s">
        <v>37</v>
      </c>
      <c r="AJ9" s="6" t="s">
        <v>36</v>
      </c>
      <c r="AK9" s="6" t="s">
        <v>39</v>
      </c>
      <c r="AL9" s="6" t="s">
        <v>36</v>
      </c>
      <c r="AM9" s="6" t="s">
        <v>39</v>
      </c>
      <c r="AN9" s="6" t="s">
        <v>36</v>
      </c>
      <c r="AO9" s="6" t="s">
        <v>33</v>
      </c>
      <c r="AP9" s="6" t="s">
        <v>40</v>
      </c>
      <c r="AQ9" s="6" t="s">
        <v>39</v>
      </c>
      <c r="AR9" s="6" t="s">
        <v>32</v>
      </c>
      <c r="AS9" s="6" t="s">
        <v>32</v>
      </c>
      <c r="AT9" s="6" t="s">
        <v>39</v>
      </c>
      <c r="AU9" s="6" t="s">
        <v>37</v>
      </c>
      <c r="AV9" s="6" t="s">
        <v>32</v>
      </c>
      <c r="AW9" s="6" t="s">
        <v>33</v>
      </c>
      <c r="AX9" s="6" t="s">
        <v>40</v>
      </c>
      <c r="AY9" s="6" t="s">
        <v>40</v>
      </c>
      <c r="AZ9" s="6" t="s">
        <v>39</v>
      </c>
      <c r="BA9" s="6" t="s">
        <v>39</v>
      </c>
      <c r="BB9" s="6" t="s">
        <v>32</v>
      </c>
      <c r="BC9" s="6" t="s">
        <v>35</v>
      </c>
      <c r="BD9" s="6" t="s">
        <v>36</v>
      </c>
      <c r="BE9" s="6" t="s">
        <v>35</v>
      </c>
      <c r="BF9" s="6" t="s">
        <v>35</v>
      </c>
      <c r="BG9" s="6" t="s">
        <v>35</v>
      </c>
      <c r="BH9" s="6" t="s">
        <v>37</v>
      </c>
      <c r="BI9" s="6" t="s">
        <v>34</v>
      </c>
      <c r="BJ9" s="6" t="s">
        <v>36</v>
      </c>
      <c r="BK9" s="6" t="s">
        <v>33</v>
      </c>
      <c r="BL9" s="6" t="s">
        <v>40</v>
      </c>
    </row>
    <row r="10" spans="1:64" ht="1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64" ht="1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64" ht="1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64" ht="1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64" ht="1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64" ht="1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64" ht="1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 ht="1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 ht="1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 ht="1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2" ht="1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 ht="1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 ht="1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 ht="1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ht="1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 ht="1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 ht="1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 ht="1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 ht="1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 ht="1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 ht="1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ht="1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 ht="1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 ht="1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1:52" ht="1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1:52" ht="1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1:52" ht="1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1:52" ht="1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1:52" ht="1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ht="1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1:52" ht="1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1:52" ht="1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spans="1:52" ht="1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spans="1:52" ht="1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spans="1:52" ht="1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spans="1:52" ht="1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 spans="1:52" ht="1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1:52" ht="1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spans="1:52" ht="1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 spans="1:52" ht="1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 spans="1:52" ht="1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1:52" ht="1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 spans="1:52" ht="1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 spans="1:52" ht="1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 spans="1:52" ht="1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 spans="1:52" ht="1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 spans="1:52" ht="1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spans="1:52" ht="1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spans="1:52" ht="1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1:52" ht="1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 spans="1:52" ht="1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spans="1:52" ht="1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spans="1:52" ht="1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spans="1:52" ht="1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spans="1:52" ht="1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spans="1:52" ht="1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spans="1:52" ht="1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spans="1:52" ht="1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 spans="1:52" ht="1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 spans="1:52" ht="1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 spans="1:52" ht="1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 spans="1:52" ht="1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 spans="1:52" ht="1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 spans="1:52" ht="1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 spans="1:52" ht="1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 spans="1:52" ht="1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 spans="1:52" ht="1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 spans="1:52" ht="1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 spans="1:52" ht="1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 spans="1:52" ht="1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 spans="1:52" ht="1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 spans="1:52" ht="1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 spans="1:52" ht="1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 spans="1:52" ht="1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 spans="1:52" ht="1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 spans="1:52" ht="1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</row>
    <row r="88" spans="1:52" ht="1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</row>
    <row r="89" spans="1:52" ht="1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 spans="1:52" ht="1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 spans="1:52" ht="1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 spans="1:52" ht="1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 spans="1:52" ht="1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</row>
    <row r="94" spans="1:52" ht="1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</row>
    <row r="95" spans="1:52" ht="1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</row>
    <row r="96" spans="1:52" ht="1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</row>
    <row r="97" spans="1:52" ht="1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</row>
    <row r="98" spans="1:52" ht="1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</row>
    <row r="99" spans="1:52" ht="1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</row>
    <row r="100" spans="1:52" ht="1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</row>
    <row r="101" spans="1:52" ht="1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 spans="1:52" ht="1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 spans="1:52" ht="1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</row>
    <row r="104" spans="1:52" ht="1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 spans="1:52" ht="1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 spans="1:52" ht="1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 spans="1:52" ht="1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 spans="1:52" ht="1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 spans="1:52" ht="1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 spans="1:52" ht="1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</row>
    <row r="111" spans="1:52" ht="1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 spans="1:52" ht="1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 spans="1:52" ht="1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</row>
    <row r="114" spans="1:52" ht="1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</row>
    <row r="115" spans="1:52" ht="1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</row>
    <row r="116" spans="1:52" ht="1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</row>
    <row r="117" spans="1:52" ht="1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</row>
    <row r="118" spans="1:52" ht="1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</row>
    <row r="119" spans="1:52" ht="1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</row>
    <row r="120" spans="1:52" ht="1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</row>
    <row r="121" spans="1:52" ht="1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</row>
    <row r="122" spans="1:52" ht="1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</row>
    <row r="123" spans="1:52" ht="1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</row>
    <row r="124" spans="1:52" ht="1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</row>
    <row r="125" spans="1:52" ht="1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</row>
    <row r="126" spans="1:52" ht="1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</row>
    <row r="127" spans="1:52" ht="1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</row>
    <row r="128" spans="1:52" ht="1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</row>
    <row r="129" spans="1:52" ht="1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</row>
    <row r="130" spans="1:52" ht="1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</row>
    <row r="131" spans="1:52" ht="1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</row>
    <row r="132" spans="1:52" ht="1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 spans="1:52" ht="1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</row>
    <row r="134" spans="1:52" ht="1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</row>
    <row r="135" spans="1:52" ht="1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</row>
    <row r="136" spans="1:52" ht="1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</row>
    <row r="137" spans="1:52" ht="1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</row>
    <row r="138" spans="1:52" ht="15" customHeight="1"/>
    <row r="139" spans="1:52" ht="15" customHeight="1"/>
    <row r="140" spans="1:52" ht="15" customHeight="1"/>
    <row r="141" spans="1:52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Budhwani</dc:creator>
  <cp:lastModifiedBy>Vijay Budhwani</cp:lastModifiedBy>
  <dcterms:created xsi:type="dcterms:W3CDTF">2026-06-08T13:26:43Z</dcterms:created>
  <dcterms:modified xsi:type="dcterms:W3CDTF">2026-06-08T13:27:34Z</dcterms:modified>
</cp:coreProperties>
</file>